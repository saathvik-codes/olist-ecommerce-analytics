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Cohort Retention" sheetId="3" state="visible" r:id="rId3"/>
    <sheet xmlns:r="http://schemas.openxmlformats.org/officeDocument/2006/relationships" name="RFM Segments" sheetId="4" state="visible" r:id="rId4"/>
    <sheet xmlns:r="http://schemas.openxmlformats.org/officeDocument/2006/relationships" name="Category Pareto" sheetId="5" state="visible" r:id="rId5"/>
    <sheet xmlns:r="http://schemas.openxmlformats.org/officeDocument/2006/relationships" name="Delivery &amp; Reviews" sheetId="6" state="visible" r:id="rId6"/>
    <sheet xmlns:r="http://schemas.openxmlformats.org/officeDocument/2006/relationships" name="About" sheetId="7" state="visible" r:id="rId7"/>
  </sheets>
  <definedNames>
    <definedName name="Monthly_Month">'Monthly Trend'!$A$5:$A$27</definedName>
    <definedName name="Monthly_Orders">'Monthly Trend'!$C$5:$C$27</definedName>
    <definedName name="Monthly_Revenue">'Monthly Trend'!$D$5:$D$27</definedName>
    <definedName name="Monthly_Freight">'Monthly Trend'!$E$5:$E$27</definedName>
    <definedName name="Monthly_Items">'Monthly Trend'!$F$5:$F$27</definedName>
    <definedName name="Monthly_AOV">'Monthly Trend'!$G$5:$G$27</definedName>
    <definedName name="Monthly_MoM">'Monthly Trend'!$H$5:$H$27</definedName>
    <definedName name="Monthly_OrdersWithDate">'Monthly Trend'!$L$5:$L$27</definedName>
    <definedName name="Monthly_LateOrders">'Monthly Trend'!$M$5:$M$27</definedName>
    <definedName name="Monthly_LatePct">'Monthly Trend'!$N$5:$N$27</definedName>
    <definedName name="Monthly_Reviewed">'Monthly Trend'!$O$5:$O$27</definedName>
    <definedName name="Monthly_ReviewSum">'Monthly Trend'!$P$5:$P$27</definedName>
    <definedName name="Monthly_AvgReview">'Monthly Trend'!$Q$5:$Q$27</definedName>
    <definedName name="Cohort_Sizes">'Cohort Retention'!$B$5:$B$24</definedName>
    <definedName name="Cohort_RetentionPct">'Cohort Retention'!$C$29:$N$48</definedName>
    <definedName name="Cohort_WeightedRetention">'Cohort Retention'!$C$50:$N$50</definedName>
    <definedName name="RFM_Segment">'RFM Segments'!$A$5:$A$13</definedName>
    <definedName name="RFM_Customers">'RFM Segments'!$B$5:$B$13</definedName>
    <definedName name="RFM_Revenue">'RFM Segments'!$D$5:$D$13</definedName>
    <definedName name="Freq_MinOrders">'RFM Segments'!$B$19:$B$22</definedName>
    <definedName name="Freq_Customers">'RFM Segments'!$D$19:$D$22</definedName>
    <definedName name="Freq_Revenue">'RFM Segments'!$G$19:$G$22</definedName>
    <definedName name="Pareto_Category">'Category Pareto'!$B$5:$B$78</definedName>
    <definedName name="Pareto_Revenue">'Category Pareto'!$E$5:$E$78</definedName>
    <definedName name="Pareto_Share">'Category Pareto'!$F$5:$F$78</definedName>
    <definedName name="Pareto_Cumulative">'Category Pareto'!$G$5:$G$78</definedName>
    <definedName name="Pareto_Class">'Category Pareto'!$H$5:$H$78</definedName>
    <definedName name="State_Code">'Delivery &amp; Reviews'!$A$15:$A$41</definedName>
    <definedName name="State_Orders">'Delivery &amp; Reviews'!$D$15:$D$41</definedName>
    <definedName name="State_LateOrders">'Delivery &amp; Reviews'!$E$15:$E$41</definedName>
    <definedName name="State_LateRate">'Delivery &amp; Reviews'!$F$15:$F$41</definedName>
    <definedName name="State_AvgDays">'Delivery &amp; Reviews'!$H$15:$H$41</definedName>
    <definedName name="State_AvgReview">'Delivery &amp; Reviews'!$I$15:$I$41</definedName>
    <definedName name="KPI_TotalRevenue">'KPI Summary'!$B$5</definedName>
    <definedName name="KPI_DeliveredOrders">'KPI Summary'!$B$6</definedName>
    <definedName name="SelectedMonth">'KPI Summary'!$B$22</definedName>
    <definedName name="SelectedState">'KPI Summary'!$B$33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mmm yyyy"/>
    <numFmt numFmtId="166" formatCode="&quot;R$&quot; #,##0.00"/>
    <numFmt numFmtId="167" formatCode="0.0%"/>
    <numFmt numFmtId="168" formatCode="0.000"/>
    <numFmt numFmtId="169" formatCode="0.0"/>
    <numFmt numFmtId="170" formatCode="+0.00;-0.00"/>
  </numFmts>
  <fonts count="6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2514E"/>
      <sz val="10"/>
    </font>
    <font>
      <b val="1"/>
      <color rgb="00FFFFFF"/>
    </font>
    <font>
      <b val="1"/>
    </font>
    <font>
      <b val="1"/>
      <color rgb="001F3A5F"/>
      <sz val="12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0D4DA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6" fontId="5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3" fontId="5" fillId="0" borderId="0" pivotButton="0" quotePrefix="0" xfId="0"/>
    <xf numFmtId="3" fontId="0" fillId="0" borderId="0" pivotButton="0" quotePrefix="0" xfId="0"/>
    <xf numFmtId="168" fontId="5" fillId="0" borderId="0" pivotButton="0" quotePrefix="0" xfId="0"/>
    <xf numFmtId="168" fontId="0" fillId="0" borderId="0" pivotButton="0" quotePrefix="0" xfId="0"/>
    <xf numFmtId="10" fontId="5" fillId="0" borderId="0" pivotButton="0" quotePrefix="0" xfId="0"/>
    <xf numFmtId="1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0" fillId="4" borderId="0" pivotButton="0" quotePrefix="0" xfId="0"/>
    <xf numFmtId="167" fontId="0" fillId="0" borderId="0" pivotButton="0" quotePrefix="0" xfId="0"/>
    <xf numFmtId="0" fontId="0" fillId="4" borderId="0" pivotButton="0" quotePrefix="0" xfId="0"/>
    <xf numFmtId="170" fontId="0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0" fontId="4" fillId="3" borderId="0" pivotButton="0" quotePrefix="0" xfId="0"/>
    <xf numFmtId="3" fontId="4" fillId="3" borderId="0" pivotButton="0" quotePrefix="0" xfId="0"/>
    <xf numFmtId="166" fontId="4" fillId="3" borderId="0" pivotButton="0" quotePrefix="0" xfId="0"/>
    <xf numFmtId="167" fontId="4" fillId="3" borderId="0" pivotButton="0" quotePrefix="0" xfId="0"/>
    <xf numFmtId="10" fontId="4" fillId="3" borderId="0" pivotButton="0" quotePrefix="0" xfId="0"/>
    <xf numFmtId="168" fontId="4" fillId="3" borderId="0" pivotButton="0" quotePrefix="0" xfId="0"/>
    <xf numFmtId="2" fontId="0" fillId="0" borderId="0" pivotButton="0" quotePrefix="0" xfId="0"/>
    <xf numFmtId="169" fontId="4" fillId="3" borderId="0" pivotButton="0" quotePrefix="0" xfId="0"/>
    <xf numFmtId="2" fontId="4" fillId="3" borderId="0" pivotButton="0" quotePrefix="0" xfId="0"/>
    <xf numFmtId="1" fontId="0" fillId="0" borderId="0" pivotButton="0" quotePrefix="0" xfId="0"/>
    <xf numFmtId="1" fontId="4" fillId="3" borderId="0" pivotButton="0" quotePrefix="0" xfId="0"/>
  </cellXfs>
  <cellStyles count="1">
    <cellStyle name="Normal" xfId="0" builtinId="0" hidden="0"/>
  </cellStyles>
  <dxfs count="4">
    <dxf>
      <font>
        <b val="1"/>
        <color rgb="001E7B34"/>
      </font>
    </dxf>
    <dxf>
      <font>
        <b val="1"/>
        <color rgb="00C0392B"/>
      </font>
    </dxf>
    <dxf>
      <font>
        <color rgb="00C0392B"/>
      </font>
    </dxf>
    <dxf>
      <fill>
        <patternFill patternType="solid">
          <bgColor rgb="00CFE3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(R$), complete months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Trend'!$A$8:$A$27</f>
            </numRef>
          </cat>
          <val>
            <numRef>
              <f>'Monthly Trend'!$D$8:$D$27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Delivered orders per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'Monthly Trend'!$A$8:$A$27</f>
            </numRef>
          </cat>
          <val>
            <numRef>
              <f>'Monthly Trend'!$C$8:$C$27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Orders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 delivery rate by purchase month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Trend'!$A$8:$A$27</f>
            </numRef>
          </cat>
          <val>
            <numRef>
              <f>'Monthly Trend'!$N$8:$N$27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 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a cohort ordering again, by months since first order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400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'Cohort Retention'!$C$28:$N$28</f>
            </numRef>
          </cat>
          <val>
            <numRef>
              <f>'Cohort Retention'!$C$50:$N$50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Retention %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Share of customers vs share of revenue by segment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'RFM Segments'!C4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'RFM Segments'!$A$5:$A$13</f>
            </numRef>
          </cat>
          <val>
            <numRef>
              <f>'RFM Segments'!$C$5:$C$13</f>
            </numRef>
          </val>
        </ser>
        <ser>
          <idx val="1"/>
          <order val="1"/>
          <tx>
            <strRef>
              <f>'RFM Segments'!E4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'RFM Segments'!$A$5:$A$13</f>
            </numRef>
          </cat>
          <val>
            <numRef>
              <f>'RFM Segments'!$E$5:$E$13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category, top 20 (R$)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'Category Pareto'!$B$5:$B$24</f>
            </numRef>
          </cat>
          <val>
            <numRef>
              <f>'Category Pareto'!$E$5:$E$24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share of revenue by category rank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 w="25400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'Category Pareto'!$A$5:$A$78</f>
            </numRef>
          </cat>
          <val>
            <numRef>
              <f>'Category Pareto'!$G$5:$G$78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share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review score by delivery time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A78D6"/>
            </a:solidFill>
            <a:ln xmlns:a="http://schemas.openxmlformats.org/drawingml/2006/main">
              <a:solidFill>
                <a:srgbClr val="2A78D6"/>
              </a:solidFill>
              <a:prstDash val="solid"/>
            </a:ln>
          </spPr>
          <cat>
            <numRef>
              <f>'Delivery &amp; Reviews'!$A$5:$A$10</f>
            </numRef>
          </cat>
          <val>
            <numRef>
              <f>'Delivery &amp; Reviews'!$D$5:$D$10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review (1-5)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Late delivery rate by customer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EB6834"/>
            </a:solidFill>
            <a:ln xmlns:a="http://schemas.openxmlformats.org/drawingml/2006/main">
              <a:solidFill>
                <a:srgbClr val="EB6834"/>
              </a:solidFill>
              <a:prstDash val="solid"/>
            </a:ln>
          </spPr>
          <cat>
            <numRef>
              <f>'Delivery &amp; Reviews'!$A$15:$A$41</f>
            </numRef>
          </cat>
          <val>
            <numRef>
              <f>'Delivery &amp; Reviews'!$F$15:$F$41</f>
            </numRef>
          </val>
        </ser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 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drawing1.xml><?xml version="1.0" encoding="utf-8"?>
<wsDr xmlns="http://schemas.openxmlformats.org/drawingml/2006/spreadsheetDrawing">
  <oneCellAnchor>
    <from>
      <col>19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19</col>
      <colOff>0</colOff>
      <row>22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19</col>
      <colOff>0</colOff>
      <row>41</row>
      <rowOff>0</rowOff>
    </from>
    <ext cx="792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3</row>
      <rowOff>0</rowOff>
    </from>
    <ext cx="72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3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30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11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21</row>
      <rowOff>0</rowOff>
    </from>
    <ext cx="792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E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20" customWidth="1" min="3" max="3"/>
    <col width="10" customWidth="1" min="4" max="4"/>
    <col width="78" customWidth="1" min="5" max="5"/>
  </cols>
  <sheetData>
    <row r="1">
      <c r="A1" s="1" t="inlineStr">
        <is>
          <t>Olist marketplace - executive KPI summary</t>
        </is>
      </c>
    </row>
    <row r="2">
      <c r="A2" s="2" t="inlineStr">
        <is>
          <t>Every value in column B is an Excel formula over the detail sheets; column C is the control total computed in SQL; column D confirms they agree.</t>
        </is>
      </c>
    </row>
    <row r="4" ht="32" customHeight="1">
      <c r="A4" s="3" t="inlineStr">
        <is>
          <t>KPI</t>
        </is>
      </c>
      <c r="B4" s="3" t="inlineStr">
        <is>
          <t>Value (Excel formula)</t>
        </is>
      </c>
      <c r="C4" s="3" t="inlineStr">
        <is>
          <t>SQL control total</t>
        </is>
      </c>
      <c r="D4" s="3" t="inlineStr">
        <is>
          <t>Check</t>
        </is>
      </c>
      <c r="E4" s="3" t="inlineStr">
        <is>
          <t>How it is calculated</t>
        </is>
      </c>
    </row>
    <row r="5">
      <c r="A5" t="inlineStr">
        <is>
          <t>Total revenue</t>
        </is>
      </c>
      <c r="B5" s="4">
        <f>SUM(Monthly_Revenue)</f>
        <v/>
      </c>
      <c r="C5" s="5" t="n">
        <v>13221498.11</v>
      </c>
      <c r="D5" s="6">
        <f>IF(ABS(B5-C5)&lt;=0.006,"OK","CHECK")</f>
        <v/>
      </c>
      <c r="E5" t="inlineStr">
        <is>
          <t>Item price on delivered orders; freight excluded</t>
        </is>
      </c>
    </row>
    <row r="6">
      <c r="A6" t="inlineStr">
        <is>
          <t>Delivered orders</t>
        </is>
      </c>
      <c r="B6" s="7">
        <f>SUM(Monthly_Orders)</f>
        <v/>
      </c>
      <c r="C6" s="8" t="n">
        <v>96478</v>
      </c>
      <c r="D6" s="6">
        <f>IF(ABS(B6-C6)&lt;=0.5,"OK","CHECK")</f>
        <v/>
      </c>
      <c r="E6" t="inlineStr">
        <is>
          <t>Orders with status = delivered</t>
        </is>
      </c>
    </row>
    <row r="7">
      <c r="A7" t="inlineStr">
        <is>
          <t>Average order value</t>
        </is>
      </c>
      <c r="B7" s="4">
        <f>B5/B6</f>
        <v/>
      </c>
      <c r="C7" s="5" t="n">
        <v>137.04</v>
      </c>
      <c r="D7" s="6">
        <f>IF(ABS(B7-C7)&lt;=0.006,"OK","CHECK")</f>
        <v/>
      </c>
      <c r="E7" t="inlineStr">
        <is>
          <t>Total revenue / delivered orders</t>
        </is>
      </c>
    </row>
    <row r="8">
      <c r="A8" t="inlineStr">
        <is>
          <t>Items sold</t>
        </is>
      </c>
      <c r="B8" s="7">
        <f>SUM(Monthly_Items)</f>
        <v/>
      </c>
      <c r="C8" s="8" t="n">
        <v>110197</v>
      </c>
      <c r="D8" s="6">
        <f>IF(ABS(B8-C8)&lt;=0.5,"OK","CHECK")</f>
        <v/>
      </c>
      <c r="E8" t="inlineStr">
        <is>
          <t>Order lines on delivered orders</t>
        </is>
      </c>
    </row>
    <row r="9">
      <c r="A9" t="inlineStr">
        <is>
          <t>Items per order</t>
        </is>
      </c>
      <c r="B9" s="9">
        <f>B8/B6</f>
        <v/>
      </c>
      <c r="C9" s="10" t="n">
        <v>1.142</v>
      </c>
      <c r="D9" s="6">
        <f>IF(ABS(B9-C9)&lt;=0.0006,"OK","CHECK")</f>
        <v/>
      </c>
      <c r="E9" t="inlineStr">
        <is>
          <t>Items sold / delivered orders</t>
        </is>
      </c>
    </row>
    <row r="10">
      <c r="A10" t="inlineStr">
        <is>
          <t>Freight as % of revenue</t>
        </is>
      </c>
      <c r="B10" s="11">
        <f>SUM(Monthly_Freight)/B5</f>
        <v/>
      </c>
      <c r="C10" s="12" t="n">
        <v>0.1666</v>
      </c>
      <c r="D10" s="6">
        <f>IF(ABS(B10-C10)&lt;=6e-05,"OK","CHECK")</f>
        <v/>
      </c>
      <c r="E10" t="inlineStr">
        <is>
          <t>Freight charged / total revenue</t>
        </is>
      </c>
    </row>
    <row r="11">
      <c r="A11" t="inlineStr">
        <is>
          <t>Customers</t>
        </is>
      </c>
      <c r="B11" s="7">
        <f>SUM(Freq_Customers)</f>
        <v/>
      </c>
      <c r="C11" s="8" t="n">
        <v>93358</v>
      </c>
      <c r="D11" s="6">
        <f>IF(ABS(B11-C11)&lt;=0.5,"OK","CHECK")</f>
        <v/>
      </c>
      <c r="E11" t="inlineStr">
        <is>
          <t>Distinct people (customer_unique_id) with a delivered order</t>
        </is>
      </c>
    </row>
    <row r="12">
      <c r="A12" t="inlineStr">
        <is>
          <t>Repeat customers</t>
        </is>
      </c>
      <c r="B12" s="7">
        <f>SUMIFS(Freq_Customers,Freq_MinOrders,"&gt;=2")</f>
        <v/>
      </c>
      <c r="C12" s="8" t="n">
        <v>2801</v>
      </c>
      <c r="D12" s="6">
        <f>IF(ABS(B12-C12)&lt;=0.5,"OK","CHECK")</f>
        <v/>
      </c>
      <c r="E12" t="inlineStr">
        <is>
          <t>Customers with 2 or more delivered orders (SUMIFS on the order-frequency table)</t>
        </is>
      </c>
    </row>
    <row r="13">
      <c r="A13" t="inlineStr">
        <is>
          <t>Repeat customer rate</t>
        </is>
      </c>
      <c r="B13" s="11">
        <f>B12/B11</f>
        <v/>
      </c>
      <c r="C13" s="12" t="n">
        <v>0.03</v>
      </c>
      <c r="D13" s="6">
        <f>IF(ABS(B13-C13)&lt;=6e-05,"OK","CHECK")</f>
        <v/>
      </c>
      <c r="E13" t="inlineStr">
        <is>
          <t>Repeat customers / customers</t>
        </is>
      </c>
    </row>
    <row r="14">
      <c r="A14" t="inlineStr">
        <is>
          <t>Revenue per customer</t>
        </is>
      </c>
      <c r="B14" s="4">
        <f>B5/B11</f>
        <v/>
      </c>
      <c r="C14" s="5" t="n">
        <v>141.62</v>
      </c>
      <c r="D14" s="6">
        <f>IF(ABS(B14-C14)&lt;=0.006,"OK","CHECK")</f>
        <v/>
      </c>
      <c r="E14" t="inlineStr">
        <is>
          <t>Total revenue / customers</t>
        </is>
      </c>
    </row>
    <row r="15">
      <c r="A15" t="inlineStr">
        <is>
          <t>Late delivery rate</t>
        </is>
      </c>
      <c r="B15" s="11">
        <f>SUM(Monthly_LateOrders)/SUM(Monthly_OrdersWithDate)</f>
        <v/>
      </c>
      <c r="C15" s="12" t="n">
        <v>0.0677</v>
      </c>
      <c r="D15" s="6">
        <f>IF(ABS(B15-C15)&lt;=6e-05,"OK","CHECK")</f>
        <v/>
      </c>
      <c r="E15" t="inlineStr">
        <is>
          <t>Orders delivered after the promised date / delivered orders with a delivery date</t>
        </is>
      </c>
    </row>
    <row r="16">
      <c r="A16" t="inlineStr">
        <is>
          <t>Average review score</t>
        </is>
      </c>
      <c r="B16" s="9">
        <f>SUM(Monthly_ReviewSum)/SUM(Monthly_Reviewed)</f>
        <v/>
      </c>
      <c r="C16" s="10" t="n">
        <v>4.156</v>
      </c>
      <c r="D16" s="6">
        <f>IF(ABS(B16-C16)&lt;=0.0006,"OK","CHECK")</f>
        <v/>
      </c>
      <c r="E16" t="inlineStr">
        <is>
          <t>Mean review score (1-5) of reviewed delivered orders</t>
        </is>
      </c>
    </row>
    <row r="17">
      <c r="A17" t="inlineStr">
        <is>
          <t>Categories producing 80% of revenue</t>
        </is>
      </c>
      <c r="B17" s="7">
        <f>COUNTIF(Pareto_Class,"A")</f>
        <v/>
      </c>
      <c r="C17" s="8" t="n">
        <v>18</v>
      </c>
      <c r="D17" s="6">
        <f>IF(ABS(B17-C17)&lt;=0.5,"OK","CHECK")</f>
        <v/>
      </c>
      <c r="E17" t="inlineStr">
        <is>
          <t>Count of class-A categories out of 74</t>
        </is>
      </c>
    </row>
    <row r="18">
      <c r="A18" t="inlineStr">
        <is>
          <t>Largest category share of revenue</t>
        </is>
      </c>
      <c r="B18" s="11">
        <f>MAX(Pareto_Share)</f>
        <v/>
      </c>
      <c r="C18" s="12" t="n">
        <v>0.09327000000000001</v>
      </c>
      <c r="D18" s="6">
        <f>IF(ABS(B18-C18)&lt;=6e-05,"OK","CHECK")</f>
        <v/>
      </c>
      <c r="E18" t="inlineStr">
        <is>
          <t>Revenue share of the top category</t>
        </is>
      </c>
    </row>
    <row r="19">
      <c r="A19" s="13" t="inlineStr">
        <is>
          <t>Reconciliation status</t>
        </is>
      </c>
      <c r="B19" s="13">
        <f>IF(COUNTIF(D5:D18,"OK")=ROWS(D5:D18),"All KPIs reconcile to SQL","Differences found")</f>
        <v/>
      </c>
    </row>
    <row r="21">
      <c r="A21" s="14" t="inlineStr">
        <is>
          <t>Month explorer</t>
        </is>
      </c>
    </row>
    <row r="22">
      <c r="A22" t="inlineStr">
        <is>
          <t>Select a month (dropdown)</t>
        </is>
      </c>
      <c r="B22" s="15" t="n">
        <v>43313</v>
      </c>
    </row>
    <row r="23">
      <c r="A23" t="inlineStr">
        <is>
          <t>Revenue</t>
        </is>
      </c>
      <c r="B23" s="5">
        <f>_xlfn.XLOOKUP(SelectedMonth,Monthly_Month,Monthly_Revenue)</f>
        <v/>
      </c>
      <c r="E23" t="inlineStr">
        <is>
          <t>XLOOKUP</t>
        </is>
      </c>
    </row>
    <row r="24">
      <c r="A24" t="inlineStr">
        <is>
          <t>Orders</t>
        </is>
      </c>
      <c r="B24" s="8">
        <f>INDEX(Monthly_Orders,MATCH(SelectedMonth,Monthly_Month,0))</f>
        <v/>
      </c>
      <c r="E24" t="inlineStr">
        <is>
          <t>INDEX / MATCH</t>
        </is>
      </c>
    </row>
    <row r="25">
      <c r="A25" t="inlineStr">
        <is>
          <t>Average order value</t>
        </is>
      </c>
      <c r="B25" s="5">
        <f>INDEX(Monthly_AOV,MATCH(SelectedMonth,Monthly_Month,0))</f>
        <v/>
      </c>
      <c r="E25" t="inlineStr">
        <is>
          <t>INDEX / MATCH</t>
        </is>
      </c>
    </row>
    <row r="26">
      <c r="A26" t="inlineStr">
        <is>
          <t>Revenue vs previous month</t>
        </is>
      </c>
      <c r="B26" s="16">
        <f>IFERROR(INDEX(Monthly_MoM,MATCH(SelectedMonth,Monthly_Month,0))+0,"n/a")</f>
        <v/>
      </c>
      <c r="E26" t="inlineStr">
        <is>
          <t>INDEX / MATCH; n/a when the previous month is partial</t>
        </is>
      </c>
    </row>
    <row r="27">
      <c r="A27" t="inlineStr">
        <is>
          <t>Late delivery rate</t>
        </is>
      </c>
      <c r="B27" s="12">
        <f>_xlfn.XLOOKUP(SelectedMonth,Monthly_Month,Monthly_LatePct)</f>
        <v/>
      </c>
      <c r="E27" t="inlineStr">
        <is>
          <t>XLOOKUP</t>
        </is>
      </c>
    </row>
    <row r="28">
      <c r="A28" t="inlineStr">
        <is>
          <t>Average review score</t>
        </is>
      </c>
      <c r="B28" s="10">
        <f>_xlfn.XLOOKUP(SelectedMonth,Monthly_Month,Monthly_AvgReview)</f>
        <v/>
      </c>
      <c r="E28" t="inlineStr">
        <is>
          <t>XLOOKUP</t>
        </is>
      </c>
    </row>
    <row r="29">
      <c r="A29" t="inlineStr">
        <is>
          <t>Share of all-time revenue</t>
        </is>
      </c>
      <c r="B29" s="12">
        <f>B23/KPI_TotalRevenue</f>
        <v/>
      </c>
      <c r="E29" t="inlineStr">
        <is>
          <t>Month revenue / total revenue</t>
        </is>
      </c>
    </row>
    <row r="32">
      <c r="A32" s="14" t="inlineStr">
        <is>
          <t>State explorer</t>
        </is>
      </c>
    </row>
    <row r="33">
      <c r="A33" t="inlineStr">
        <is>
          <t>Select a state (dropdown)</t>
        </is>
      </c>
      <c r="B33" s="17" t="inlineStr">
        <is>
          <t>RJ</t>
        </is>
      </c>
    </row>
    <row r="34">
      <c r="A34" t="inlineStr">
        <is>
          <t>Delivered orders</t>
        </is>
      </c>
      <c r="B34" s="8">
        <f>_xlfn.XLOOKUP(SelectedState,State_Code,State_Orders)</f>
        <v/>
      </c>
      <c r="E34" t="inlineStr">
        <is>
          <t>XLOOKUP</t>
        </is>
      </c>
    </row>
    <row r="35">
      <c r="A35" t="inlineStr">
        <is>
          <t>Late delivery rate</t>
        </is>
      </c>
      <c r="B35" s="12">
        <f>INDEX(State_LateRate,MATCH(SelectedState,State_Code,0))</f>
        <v/>
      </c>
      <c r="E35" t="inlineStr">
        <is>
          <t>INDEX / MATCH</t>
        </is>
      </c>
    </row>
    <row r="36">
      <c r="A36" t="inlineStr">
        <is>
          <t>Late rate vs national (pp)</t>
        </is>
      </c>
      <c r="B36" s="18">
        <f>(B35-B15)*100</f>
        <v/>
      </c>
      <c r="E36" t="inlineStr">
        <is>
          <t>State rate - national rate</t>
        </is>
      </c>
    </row>
    <row r="37">
      <c r="A37" t="inlineStr">
        <is>
          <t>Share of all late orders</t>
        </is>
      </c>
      <c r="B37" s="12">
        <f>SUMIFS(State_LateOrders,State_Code,SelectedState)/SUM(State_LateOrders)</f>
        <v/>
      </c>
      <c r="E37" t="inlineStr">
        <is>
          <t>SUMIFS</t>
        </is>
      </c>
    </row>
    <row r="38">
      <c r="A38" t="inlineStr">
        <is>
          <t>Average days to deliver</t>
        </is>
      </c>
      <c r="B38" s="19">
        <f>_xlfn.XLOOKUP(SelectedState,State_Code,State_AvgDays)</f>
        <v/>
      </c>
      <c r="E38" t="inlineStr">
        <is>
          <t>XLOOKUP</t>
        </is>
      </c>
    </row>
    <row r="39">
      <c r="A39" t="inlineStr">
        <is>
          <t>Average review score</t>
        </is>
      </c>
      <c r="B39" s="10">
        <f>_xlfn.XLOOKUP(SelectedState,State_Code,State_AvgReview)</f>
        <v/>
      </c>
      <c r="E39" t="inlineStr">
        <is>
          <t>XLOOKUP</t>
        </is>
      </c>
    </row>
  </sheetData>
  <conditionalFormatting sqref="D5:D18">
    <cfRule type="expression" priority="1" dxfId="0">
      <formula>$D5="OK"</formula>
    </cfRule>
    <cfRule type="expression" priority="2" dxfId="1">
      <formula>$D5="CHECK"</formula>
    </cfRule>
  </conditionalFormatting>
  <dataValidations count="2">
    <dataValidation sqref="B22" showDropDown="0" showInputMessage="0" showErrorMessage="0" allowBlank="0" type="list">
      <formula1>=Monthly_Month</formula1>
    </dataValidation>
    <dataValidation sqref="B33" showDropDown="0" showInputMessage="0" showErrorMessage="0" allowBlank="0" type="list">
      <formula1>=State_Code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A78D6"/>
    <outlinePr summaryBelow="1" summaryRight="1"/>
    <pageSetUpPr/>
  </sheetPr>
  <dimension ref="A1:R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5" customWidth="1" min="4" max="4"/>
    <col width="14" customWidth="1" min="5" max="5"/>
    <col width="10" customWidth="1" min="6" max="6"/>
    <col width="12" customWidth="1" min="7" max="7"/>
    <col width="11" customWidth="1" min="8" max="8"/>
    <col width="11" customWidth="1" min="9" max="9"/>
    <col width="16" customWidth="1" min="10" max="10"/>
    <col width="16" customWidth="1" min="11" max="11"/>
    <col width="13" customWidth="1" min="12" max="12"/>
    <col width="10" customWidth="1" min="13" max="13"/>
    <col width="10" customWidth="1" min="14" max="14"/>
    <col width="11" customWidth="1" min="15" max="15"/>
    <col width="11" customWidth="1" min="16" max="16"/>
    <col width="9" customWidth="1" min="17" max="17"/>
    <col width="11" customWidth="1" min="18" max="18"/>
  </cols>
  <sheetData>
    <row r="1">
      <c r="A1" s="1" t="inlineStr">
        <is>
          <t>Monthly trend</t>
        </is>
      </c>
    </row>
    <row r="2">
      <c r="A2" s="2" t="inlineStr">
        <is>
          <t>Delivered orders by purchase month. Growth is only computed between complete months (Jan-2017 to Aug-2018); partial months are flagged 0.</t>
        </is>
      </c>
    </row>
    <row r="4" ht="32" customHeight="1">
      <c r="A4" s="3" t="inlineStr">
        <is>
          <t>Month</t>
        </is>
      </c>
      <c r="B4" s="3" t="inlineStr">
        <is>
          <t>Complete month</t>
        </is>
      </c>
      <c r="C4" s="3" t="inlineStr">
        <is>
          <t>Orders</t>
        </is>
      </c>
      <c r="D4" s="3" t="inlineStr">
        <is>
          <t>Revenue</t>
        </is>
      </c>
      <c r="E4" s="3" t="inlineStr">
        <is>
          <t>Freight</t>
        </is>
      </c>
      <c r="F4" s="3" t="inlineStr">
        <is>
          <t>Items sold</t>
        </is>
      </c>
      <c r="G4" s="3" t="inlineStr">
        <is>
          <t>AOV</t>
        </is>
      </c>
      <c r="H4" s="3" t="inlineStr">
        <is>
          <t>Revenue MoM %</t>
        </is>
      </c>
      <c r="I4" s="3" t="inlineStr">
        <is>
          <t>Revenue YoY %</t>
        </is>
      </c>
      <c r="J4" s="3" t="inlineStr">
        <is>
          <t>Rolling 3M revenue</t>
        </is>
      </c>
      <c r="K4" s="3" t="inlineStr">
        <is>
          <t>Cumulative revenue</t>
        </is>
      </c>
      <c r="L4" s="3" t="inlineStr">
        <is>
          <t>Orders with delivery date</t>
        </is>
      </c>
      <c r="M4" s="3" t="inlineStr">
        <is>
          <t>Late orders</t>
        </is>
      </c>
      <c r="N4" s="3" t="inlineStr">
        <is>
          <t>Late delivery %</t>
        </is>
      </c>
      <c r="O4" s="3" t="inlineStr">
        <is>
          <t>Reviewed orders</t>
        </is>
      </c>
      <c r="P4" s="3" t="inlineStr">
        <is>
          <t>Review score sum</t>
        </is>
      </c>
      <c r="Q4" s="3" t="inlineStr">
        <is>
          <t>Avg review</t>
        </is>
      </c>
      <c r="R4" s="3" t="inlineStr">
        <is>
          <t>New customers</t>
        </is>
      </c>
    </row>
    <row r="5">
      <c r="A5" s="20" t="n">
        <v>42614</v>
      </c>
      <c r="B5" t="n">
        <v>0</v>
      </c>
      <c r="C5" s="8" t="n">
        <v>1</v>
      </c>
      <c r="D5" s="5" t="n">
        <v>134.97</v>
      </c>
      <c r="E5" s="5" t="n">
        <v>8.49</v>
      </c>
      <c r="F5" s="8" t="n">
        <v>3</v>
      </c>
      <c r="G5" s="5">
        <f>D5/C5</f>
        <v/>
      </c>
      <c r="H5" s="16">
        <f>""</f>
        <v/>
      </c>
      <c r="I5" s="16" t="n"/>
      <c r="J5" s="5" t="n"/>
      <c r="K5" s="5">
        <f>SUM($D$5:D5)</f>
        <v/>
      </c>
      <c r="L5" s="8" t="n">
        <v>1</v>
      </c>
      <c r="M5" s="8" t="n">
        <v>1</v>
      </c>
      <c r="N5" s="12">
        <f>M5/L5</f>
        <v/>
      </c>
      <c r="O5" s="8" t="n">
        <v>1</v>
      </c>
      <c r="P5" s="8" t="n">
        <v>1</v>
      </c>
      <c r="Q5" s="10">
        <f>P5/O5</f>
        <v/>
      </c>
      <c r="R5" s="8" t="n">
        <v>1</v>
      </c>
    </row>
    <row r="6">
      <c r="A6" s="20" t="n">
        <v>42644</v>
      </c>
      <c r="B6" t="n">
        <v>0</v>
      </c>
      <c r="C6" s="8" t="n">
        <v>265</v>
      </c>
      <c r="D6" s="5" t="n">
        <v>40325.11</v>
      </c>
      <c r="E6" s="5" t="n">
        <v>6165.55</v>
      </c>
      <c r="F6" s="8" t="n">
        <v>313</v>
      </c>
      <c r="G6" s="5">
        <f>D6/C6</f>
        <v/>
      </c>
      <c r="H6" s="16">
        <f>IF(AND(B6=1,B5=1),D6/D5-1,"")</f>
        <v/>
      </c>
      <c r="I6" s="16" t="n"/>
      <c r="J6" s="5" t="n"/>
      <c r="K6" s="5">
        <f>SUM($D$5:D6)</f>
        <v/>
      </c>
      <c r="L6" s="8" t="n">
        <v>265</v>
      </c>
      <c r="M6" s="8" t="n">
        <v>2</v>
      </c>
      <c r="N6" s="12">
        <f>M6/L6</f>
        <v/>
      </c>
      <c r="O6" s="8" t="n">
        <v>262</v>
      </c>
      <c r="P6" s="8" t="n">
        <v>1051</v>
      </c>
      <c r="Q6" s="10">
        <f>P6/O6</f>
        <v/>
      </c>
      <c r="R6" s="8" t="n">
        <v>262</v>
      </c>
    </row>
    <row r="7">
      <c r="A7" s="20" t="n">
        <v>42705</v>
      </c>
      <c r="B7" t="n">
        <v>0</v>
      </c>
      <c r="C7" s="8" t="n">
        <v>1</v>
      </c>
      <c r="D7" s="5" t="n">
        <v>10.9</v>
      </c>
      <c r="E7" s="5" t="n">
        <v>8.720000000000001</v>
      </c>
      <c r="F7" s="8" t="n">
        <v>1</v>
      </c>
      <c r="G7" s="5">
        <f>D7/C7</f>
        <v/>
      </c>
      <c r="H7" s="16">
        <f>IF(AND(B7=1,B6=1),D7/D6-1,"")</f>
        <v/>
      </c>
      <c r="I7" s="16" t="n"/>
      <c r="J7" s="5">
        <f>IF(AND(B7=1,B5=1),SUM(D5:D7),"")</f>
        <v/>
      </c>
      <c r="K7" s="5">
        <f>SUM($D$5:D7)</f>
        <v/>
      </c>
      <c r="L7" s="8" t="n">
        <v>1</v>
      </c>
      <c r="M7" s="8" t="n">
        <v>0</v>
      </c>
      <c r="N7" s="12">
        <f>M7/L7</f>
        <v/>
      </c>
      <c r="O7" s="8" t="n">
        <v>1</v>
      </c>
      <c r="P7" s="8" t="n">
        <v>5</v>
      </c>
      <c r="Q7" s="10">
        <f>P7/O7</f>
        <v/>
      </c>
      <c r="R7" s="8" t="n">
        <v>1</v>
      </c>
    </row>
    <row r="8">
      <c r="A8" s="20" t="n">
        <v>42736</v>
      </c>
      <c r="B8" t="n">
        <v>1</v>
      </c>
      <c r="C8" s="8" t="n">
        <v>750</v>
      </c>
      <c r="D8" s="5" t="n">
        <v>111798.36</v>
      </c>
      <c r="E8" s="5" t="n">
        <v>15684.01</v>
      </c>
      <c r="F8" s="8" t="n">
        <v>913</v>
      </c>
      <c r="G8" s="5">
        <f>D8/C8</f>
        <v/>
      </c>
      <c r="H8" s="16">
        <f>IF(AND(B8=1,B7=1),D8/D7-1,"")</f>
        <v/>
      </c>
      <c r="I8" s="16" t="n"/>
      <c r="J8" s="5">
        <f>IF(AND(B8=1,B6=1),SUM(D6:D8),"")</f>
        <v/>
      </c>
      <c r="K8" s="5">
        <f>SUM($D$5:D8)</f>
        <v/>
      </c>
      <c r="L8" s="8" t="n">
        <v>750</v>
      </c>
      <c r="M8" s="8" t="n">
        <v>22</v>
      </c>
      <c r="N8" s="12">
        <f>M8/L8</f>
        <v/>
      </c>
      <c r="O8" s="8" t="n">
        <v>741</v>
      </c>
      <c r="P8" s="8" t="n">
        <v>3111</v>
      </c>
      <c r="Q8" s="10">
        <f>P8/O8</f>
        <v/>
      </c>
      <c r="R8" s="8" t="n">
        <v>717</v>
      </c>
    </row>
    <row r="9">
      <c r="A9" s="20" t="n">
        <v>42767</v>
      </c>
      <c r="B9" t="n">
        <v>1</v>
      </c>
      <c r="C9" s="8" t="n">
        <v>1653</v>
      </c>
      <c r="D9" s="5" t="n">
        <v>234223.4</v>
      </c>
      <c r="E9" s="5" t="n">
        <v>37015.92</v>
      </c>
      <c r="F9" s="8" t="n">
        <v>1858</v>
      </c>
      <c r="G9" s="5">
        <f>D9/C9</f>
        <v/>
      </c>
      <c r="H9" s="16">
        <f>IF(AND(B9=1,B8=1),D9/D8-1,"")</f>
        <v/>
      </c>
      <c r="I9" s="16" t="n"/>
      <c r="J9" s="5">
        <f>IF(AND(B9=1,B7=1),SUM(D7:D9),"")</f>
        <v/>
      </c>
      <c r="K9" s="5">
        <f>SUM($D$5:D9)</f>
        <v/>
      </c>
      <c r="L9" s="8" t="n">
        <v>1653</v>
      </c>
      <c r="M9" s="8" t="n">
        <v>49</v>
      </c>
      <c r="N9" s="12">
        <f>M9/L9</f>
        <v/>
      </c>
      <c r="O9" s="8" t="n">
        <v>1643</v>
      </c>
      <c r="P9" s="8" t="n">
        <v>6906</v>
      </c>
      <c r="Q9" s="10">
        <f>P9/O9</f>
        <v/>
      </c>
      <c r="R9" s="8" t="n">
        <v>1628</v>
      </c>
    </row>
    <row r="10">
      <c r="A10" s="20" t="n">
        <v>42795</v>
      </c>
      <c r="B10" t="n">
        <v>1</v>
      </c>
      <c r="C10" s="8" t="n">
        <v>2546</v>
      </c>
      <c r="D10" s="5" t="n">
        <v>359198.85</v>
      </c>
      <c r="E10" s="5" t="n">
        <v>55132.1</v>
      </c>
      <c r="F10" s="8" t="n">
        <v>2897</v>
      </c>
      <c r="G10" s="5">
        <f>D10/C10</f>
        <v/>
      </c>
      <c r="H10" s="16">
        <f>IF(AND(B10=1,B9=1),D10/D9-1,"")</f>
        <v/>
      </c>
      <c r="I10" s="16" t="n"/>
      <c r="J10" s="5">
        <f>IF(AND(B10=1,B8=1),SUM(D8:D10),"")</f>
        <v/>
      </c>
      <c r="K10" s="5">
        <f>SUM($D$5:D10)</f>
        <v/>
      </c>
      <c r="L10" s="8" t="n">
        <v>2546</v>
      </c>
      <c r="M10" s="8" t="n">
        <v>116</v>
      </c>
      <c r="N10" s="12">
        <f>M10/L10</f>
        <v/>
      </c>
      <c r="O10" s="8" t="n">
        <v>2527</v>
      </c>
      <c r="P10" s="8" t="n">
        <v>10580</v>
      </c>
      <c r="Q10" s="10">
        <f>P10/O10</f>
        <v/>
      </c>
      <c r="R10" s="8" t="n">
        <v>2503</v>
      </c>
    </row>
    <row r="11">
      <c r="A11" s="20" t="n">
        <v>42826</v>
      </c>
      <c r="B11" t="n">
        <v>1</v>
      </c>
      <c r="C11" s="8" t="n">
        <v>2303</v>
      </c>
      <c r="D11" s="5" t="n">
        <v>340669.68</v>
      </c>
      <c r="E11" s="5" t="n">
        <v>50142.72</v>
      </c>
      <c r="F11" s="8" t="n">
        <v>2569</v>
      </c>
      <c r="G11" s="5">
        <f>D11/C11</f>
        <v/>
      </c>
      <c r="H11" s="16">
        <f>IF(AND(B11=1,B10=1),D11/D10-1,"")</f>
        <v/>
      </c>
      <c r="I11" s="16" t="n"/>
      <c r="J11" s="5">
        <f>IF(AND(B11=1,B9=1),SUM(D9:D11),"")</f>
        <v/>
      </c>
      <c r="K11" s="5">
        <f>SUM($D$5:D11)</f>
        <v/>
      </c>
      <c r="L11" s="8" t="n">
        <v>2303</v>
      </c>
      <c r="M11" s="8" t="n">
        <v>151</v>
      </c>
      <c r="N11" s="12">
        <f>M11/L11</f>
        <v/>
      </c>
      <c r="O11" s="8" t="n">
        <v>2290</v>
      </c>
      <c r="P11" s="8" t="n">
        <v>9470</v>
      </c>
      <c r="Q11" s="10">
        <f>P11/O11</f>
        <v/>
      </c>
      <c r="R11" s="8" t="n">
        <v>2256</v>
      </c>
    </row>
    <row r="12">
      <c r="A12" s="20" t="n">
        <v>42856</v>
      </c>
      <c r="B12" t="n">
        <v>1</v>
      </c>
      <c r="C12" s="8" t="n">
        <v>3546</v>
      </c>
      <c r="D12" s="5" t="n">
        <v>489338.25</v>
      </c>
      <c r="E12" s="5" t="n">
        <v>77513.14999999999</v>
      </c>
      <c r="F12" s="8" t="n">
        <v>4004</v>
      </c>
      <c r="G12" s="5">
        <f>D12/C12</f>
        <v/>
      </c>
      <c r="H12" s="16">
        <f>IF(AND(B12=1,B11=1),D12/D11-1,"")</f>
        <v/>
      </c>
      <c r="I12" s="16" t="n"/>
      <c r="J12" s="5">
        <f>IF(AND(B12=1,B10=1),SUM(D10:D12),"")</f>
        <v/>
      </c>
      <c r="K12" s="5">
        <f>SUM($D$5:D12)</f>
        <v/>
      </c>
      <c r="L12" s="8" t="n">
        <v>3545</v>
      </c>
      <c r="M12" s="8" t="n">
        <v>106</v>
      </c>
      <c r="N12" s="12">
        <f>M12/L12</f>
        <v/>
      </c>
      <c r="O12" s="8" t="n">
        <v>3518</v>
      </c>
      <c r="P12" s="8" t="n">
        <v>14904</v>
      </c>
      <c r="Q12" s="10">
        <f>P12/O12</f>
        <v/>
      </c>
      <c r="R12" s="8" t="n">
        <v>3451</v>
      </c>
    </row>
    <row r="13">
      <c r="A13" s="20" t="n">
        <v>42887</v>
      </c>
      <c r="B13" t="n">
        <v>1</v>
      </c>
      <c r="C13" s="8" t="n">
        <v>3135</v>
      </c>
      <c r="D13" s="5" t="n">
        <v>421923.37</v>
      </c>
      <c r="E13" s="5" t="n">
        <v>68127</v>
      </c>
      <c r="F13" s="8" t="n">
        <v>3489</v>
      </c>
      <c r="G13" s="5">
        <f>D13/C13</f>
        <v/>
      </c>
      <c r="H13" s="16">
        <f>IF(AND(B13=1,B12=1),D13/D12-1,"")</f>
        <v/>
      </c>
      <c r="I13" s="16" t="n"/>
      <c r="J13" s="5">
        <f>IF(AND(B13=1,B11=1),SUM(D11:D13),"")</f>
        <v/>
      </c>
      <c r="K13" s="5">
        <f>SUM($D$5:D13)</f>
        <v/>
      </c>
      <c r="L13" s="8" t="n">
        <v>3135</v>
      </c>
      <c r="M13" s="8" t="n">
        <v>95</v>
      </c>
      <c r="N13" s="12">
        <f>M13/L13</f>
        <v/>
      </c>
      <c r="O13" s="8" t="n">
        <v>3111</v>
      </c>
      <c r="P13" s="8" t="n">
        <v>13137</v>
      </c>
      <c r="Q13" s="10">
        <f>P13/O13</f>
        <v/>
      </c>
      <c r="R13" s="8" t="n">
        <v>3037</v>
      </c>
    </row>
    <row r="14">
      <c r="A14" s="20" t="n">
        <v>42917</v>
      </c>
      <c r="B14" t="n">
        <v>1</v>
      </c>
      <c r="C14" s="8" t="n">
        <v>3872</v>
      </c>
      <c r="D14" s="5" t="n">
        <v>481604.52</v>
      </c>
      <c r="E14" s="5" t="n">
        <v>84694.56</v>
      </c>
      <c r="F14" s="8" t="n">
        <v>4416</v>
      </c>
      <c r="G14" s="5">
        <f>D14/C14</f>
        <v/>
      </c>
      <c r="H14" s="16">
        <f>IF(AND(B14=1,B13=1),D14/D13-1,"")</f>
        <v/>
      </c>
      <c r="I14" s="16" t="n"/>
      <c r="J14" s="5">
        <f>IF(AND(B14=1,B12=1),SUM(D12:D14),"")</f>
        <v/>
      </c>
      <c r="K14" s="5">
        <f>SUM($D$5:D14)</f>
        <v/>
      </c>
      <c r="L14" s="8" t="n">
        <v>3872</v>
      </c>
      <c r="M14" s="8" t="n">
        <v>108</v>
      </c>
      <c r="N14" s="12">
        <f>M14/L14</f>
        <v/>
      </c>
      <c r="O14" s="8" t="n">
        <v>3842</v>
      </c>
      <c r="P14" s="8" t="n">
        <v>16365</v>
      </c>
      <c r="Q14" s="10">
        <f>P14/O14</f>
        <v/>
      </c>
      <c r="R14" s="8" t="n">
        <v>3752</v>
      </c>
    </row>
    <row r="15">
      <c r="A15" s="20" t="n">
        <v>42948</v>
      </c>
      <c r="B15" t="n">
        <v>1</v>
      </c>
      <c r="C15" s="8" t="n">
        <v>4193</v>
      </c>
      <c r="D15" s="5" t="n">
        <v>554699.7</v>
      </c>
      <c r="E15" s="5" t="n">
        <v>91215.42</v>
      </c>
      <c r="F15" s="8" t="n">
        <v>4797</v>
      </c>
      <c r="G15" s="5">
        <f>D15/C15</f>
        <v/>
      </c>
      <c r="H15" s="16">
        <f>IF(AND(B15=1,B14=1),D15/D14-1,"")</f>
        <v/>
      </c>
      <c r="I15" s="16" t="n"/>
      <c r="J15" s="5">
        <f>IF(AND(B15=1,B13=1),SUM(D13:D15),"")</f>
        <v/>
      </c>
      <c r="K15" s="5">
        <f>SUM($D$5:D15)</f>
        <v/>
      </c>
      <c r="L15" s="8" t="n">
        <v>4193</v>
      </c>
      <c r="M15" s="8" t="n">
        <v>122</v>
      </c>
      <c r="N15" s="12">
        <f>M15/L15</f>
        <v/>
      </c>
      <c r="O15" s="8" t="n">
        <v>4165</v>
      </c>
      <c r="P15" s="8" t="n">
        <v>17963</v>
      </c>
      <c r="Q15" s="10">
        <f>P15/O15</f>
        <v/>
      </c>
      <c r="R15" s="8" t="n">
        <v>4057</v>
      </c>
    </row>
    <row r="16">
      <c r="A16" s="20" t="n">
        <v>42979</v>
      </c>
      <c r="B16" t="n">
        <v>1</v>
      </c>
      <c r="C16" s="8" t="n">
        <v>4150</v>
      </c>
      <c r="D16" s="5" t="n">
        <v>607399.67</v>
      </c>
      <c r="E16" s="5" t="n">
        <v>93677.82000000001</v>
      </c>
      <c r="F16" s="8" t="n">
        <v>4737</v>
      </c>
      <c r="G16" s="5">
        <f>D16/C16</f>
        <v/>
      </c>
      <c r="H16" s="16">
        <f>IF(AND(B16=1,B15=1),D16/D15-1,"")</f>
        <v/>
      </c>
      <c r="I16" s="16" t="n"/>
      <c r="J16" s="5">
        <f>IF(AND(B16=1,B14=1),SUM(D14:D16),"")</f>
        <v/>
      </c>
      <c r="K16" s="5">
        <f>SUM($D$5:D16)</f>
        <v/>
      </c>
      <c r="L16" s="8" t="n">
        <v>4150</v>
      </c>
      <c r="M16" s="8" t="n">
        <v>182</v>
      </c>
      <c r="N16" s="12">
        <f>M16/L16</f>
        <v/>
      </c>
      <c r="O16" s="8" t="n">
        <v>4118</v>
      </c>
      <c r="P16" s="8" t="n">
        <v>17575</v>
      </c>
      <c r="Q16" s="10">
        <f>P16/O16</f>
        <v/>
      </c>
      <c r="R16" s="8" t="n">
        <v>4004</v>
      </c>
    </row>
    <row r="17">
      <c r="A17" s="20" t="n">
        <v>43009</v>
      </c>
      <c r="B17" t="n">
        <v>1</v>
      </c>
      <c r="C17" s="8" t="n">
        <v>4478</v>
      </c>
      <c r="D17" s="5" t="n">
        <v>648247.65</v>
      </c>
      <c r="E17" s="5" t="n">
        <v>102974.48</v>
      </c>
      <c r="F17" s="8" t="n">
        <v>5214</v>
      </c>
      <c r="G17" s="5">
        <f>D17/C17</f>
        <v/>
      </c>
      <c r="H17" s="16">
        <f>IF(AND(B17=1,B16=1),D17/D16-1,"")</f>
        <v/>
      </c>
      <c r="I17" s="16">
        <f>IF(AND(B17=1,B5=1),D17/D5-1,"")</f>
        <v/>
      </c>
      <c r="J17" s="5">
        <f>IF(AND(B17=1,B15=1),SUM(D15:D17),"")</f>
        <v/>
      </c>
      <c r="K17" s="5">
        <f>SUM($D$5:D17)</f>
        <v/>
      </c>
      <c r="L17" s="8" t="n">
        <v>4478</v>
      </c>
      <c r="M17" s="8" t="n">
        <v>187</v>
      </c>
      <c r="N17" s="12">
        <f>M17/L17</f>
        <v/>
      </c>
      <c r="O17" s="8" t="n">
        <v>4446</v>
      </c>
      <c r="P17" s="8" t="n">
        <v>18695</v>
      </c>
      <c r="Q17" s="10">
        <f>P17/O17</f>
        <v/>
      </c>
      <c r="R17" s="8" t="n">
        <v>4328</v>
      </c>
    </row>
    <row r="18">
      <c r="A18" s="20" t="n">
        <v>43040</v>
      </c>
      <c r="B18" t="n">
        <v>1</v>
      </c>
      <c r="C18" s="8" t="n">
        <v>7289</v>
      </c>
      <c r="D18" s="5" t="n">
        <v>987765.37</v>
      </c>
      <c r="E18" s="5" t="n">
        <v>166794.16</v>
      </c>
      <c r="F18" s="8" t="n">
        <v>8475</v>
      </c>
      <c r="G18" s="5">
        <f>D18/C18</f>
        <v/>
      </c>
      <c r="H18" s="16">
        <f>IF(AND(B18=1,B17=1),D18/D17-1,"")</f>
        <v/>
      </c>
      <c r="I18" s="16">
        <f>IF(AND(B18=1,B6=1),D18/D6-1,"")</f>
        <v/>
      </c>
      <c r="J18" s="5">
        <f>IF(AND(B18=1,B16=1),SUM(D16:D18),"")</f>
        <v/>
      </c>
      <c r="K18" s="5">
        <f>SUM($D$5:D18)</f>
        <v/>
      </c>
      <c r="L18" s="8" t="n">
        <v>7288</v>
      </c>
      <c r="M18" s="8" t="n">
        <v>904</v>
      </c>
      <c r="N18" s="12">
        <f>M18/L18</f>
        <v/>
      </c>
      <c r="O18" s="8" t="n">
        <v>7238</v>
      </c>
      <c r="P18" s="8" t="n">
        <v>28872</v>
      </c>
      <c r="Q18" s="10">
        <f>P18/O18</f>
        <v/>
      </c>
      <c r="R18" s="8" t="n">
        <v>7060</v>
      </c>
    </row>
    <row r="19">
      <c r="A19" s="20" t="n">
        <v>43070</v>
      </c>
      <c r="B19" t="n">
        <v>1</v>
      </c>
      <c r="C19" s="8" t="n">
        <v>5513</v>
      </c>
      <c r="D19" s="5" t="n">
        <v>726033.1899999999</v>
      </c>
      <c r="E19" s="5" t="n">
        <v>117818.02</v>
      </c>
      <c r="F19" s="8" t="n">
        <v>6187</v>
      </c>
      <c r="G19" s="5">
        <f>D19/C19</f>
        <v/>
      </c>
      <c r="H19" s="16">
        <f>IF(AND(B19=1,B18=1),D19/D18-1,"")</f>
        <v/>
      </c>
      <c r="I19" s="16">
        <f>IF(AND(B19=1,B7=1),D19/D7-1,"")</f>
        <v/>
      </c>
      <c r="J19" s="5">
        <f>IF(AND(B19=1,B17=1),SUM(D17:D19),"")</f>
        <v/>
      </c>
      <c r="K19" s="5">
        <f>SUM($D$5:D19)</f>
        <v/>
      </c>
      <c r="L19" s="8" t="n">
        <v>5513</v>
      </c>
      <c r="M19" s="8" t="n">
        <v>411</v>
      </c>
      <c r="N19" s="12">
        <f>M19/L19</f>
        <v/>
      </c>
      <c r="O19" s="8" t="n">
        <v>5461</v>
      </c>
      <c r="P19" s="8" t="n">
        <v>22327</v>
      </c>
      <c r="Q19" s="10">
        <f>P19/O19</f>
        <v/>
      </c>
      <c r="R19" s="8" t="n">
        <v>5338</v>
      </c>
    </row>
    <row r="20">
      <c r="A20" s="20" t="n">
        <v>43101</v>
      </c>
      <c r="B20" t="n">
        <v>1</v>
      </c>
      <c r="C20" s="8" t="n">
        <v>7069</v>
      </c>
      <c r="D20" s="5" t="n">
        <v>924645</v>
      </c>
      <c r="E20" s="5" t="n">
        <v>153797.72</v>
      </c>
      <c r="F20" s="8" t="n">
        <v>8037</v>
      </c>
      <c r="G20" s="5">
        <f>D20/C20</f>
        <v/>
      </c>
      <c r="H20" s="16">
        <f>IF(AND(B20=1,B19=1),D20/D19-1,"")</f>
        <v/>
      </c>
      <c r="I20" s="16">
        <f>IF(AND(B20=1,B8=1),D20/D8-1,"")</f>
        <v/>
      </c>
      <c r="J20" s="5">
        <f>IF(AND(B20=1,B18=1),SUM(D18:D20),"")</f>
        <v/>
      </c>
      <c r="K20" s="5">
        <f>SUM($D$5:D20)</f>
        <v/>
      </c>
      <c r="L20" s="8" t="n">
        <v>7069</v>
      </c>
      <c r="M20" s="8" t="n">
        <v>403</v>
      </c>
      <c r="N20" s="12">
        <f>M20/L20</f>
        <v/>
      </c>
      <c r="O20" s="8" t="n">
        <v>7013</v>
      </c>
      <c r="P20" s="8" t="n">
        <v>28813</v>
      </c>
      <c r="Q20" s="10">
        <f>P20/O20</f>
        <v/>
      </c>
      <c r="R20" s="8" t="n">
        <v>6842</v>
      </c>
    </row>
    <row r="21">
      <c r="A21" s="20" t="n">
        <v>43132</v>
      </c>
      <c r="B21" t="n">
        <v>1</v>
      </c>
      <c r="C21" s="8" t="n">
        <v>6555</v>
      </c>
      <c r="D21" s="5" t="n">
        <v>826437.13</v>
      </c>
      <c r="E21" s="5" t="n">
        <v>140399.72</v>
      </c>
      <c r="F21" s="8" t="n">
        <v>7518</v>
      </c>
      <c r="G21" s="5">
        <f>D21/C21</f>
        <v/>
      </c>
      <c r="H21" s="16">
        <f>IF(AND(B21=1,B20=1),D21/D20-1,"")</f>
        <v/>
      </c>
      <c r="I21" s="16">
        <f>IF(AND(B21=1,B9=1),D21/D9-1,"")</f>
        <v/>
      </c>
      <c r="J21" s="5">
        <f>IF(AND(B21=1,B19=1),SUM(D19:D21),"")</f>
        <v/>
      </c>
      <c r="K21" s="5">
        <f>SUM($D$5:D21)</f>
        <v/>
      </c>
      <c r="L21" s="8" t="n">
        <v>6555</v>
      </c>
      <c r="M21" s="8" t="n">
        <v>926</v>
      </c>
      <c r="N21" s="12">
        <f>M21/L21</f>
        <v/>
      </c>
      <c r="O21" s="8" t="n">
        <v>6507</v>
      </c>
      <c r="P21" s="8" t="n">
        <v>25251</v>
      </c>
      <c r="Q21" s="10">
        <f>P21/O21</f>
        <v/>
      </c>
      <c r="R21" s="8" t="n">
        <v>6288</v>
      </c>
    </row>
    <row r="22">
      <c r="A22" s="20" t="n">
        <v>43160</v>
      </c>
      <c r="B22" t="n">
        <v>1</v>
      </c>
      <c r="C22" s="8" t="n">
        <v>7003</v>
      </c>
      <c r="D22" s="5" t="n">
        <v>953356.25</v>
      </c>
      <c r="E22" s="5" t="n">
        <v>167370.45</v>
      </c>
      <c r="F22" s="8" t="n">
        <v>8017</v>
      </c>
      <c r="G22" s="5">
        <f>D22/C22</f>
        <v/>
      </c>
      <c r="H22" s="16">
        <f>IF(AND(B22=1,B21=1),D22/D21-1,"")</f>
        <v/>
      </c>
      <c r="I22" s="16">
        <f>IF(AND(B22=1,B10=1),D22/D10-1,"")</f>
        <v/>
      </c>
      <c r="J22" s="5">
        <f>IF(AND(B22=1,B20=1),SUM(D20:D22),"")</f>
        <v/>
      </c>
      <c r="K22" s="5">
        <f>SUM($D$5:D22)</f>
        <v/>
      </c>
      <c r="L22" s="8" t="n">
        <v>7003</v>
      </c>
      <c r="M22" s="8" t="n">
        <v>1328</v>
      </c>
      <c r="N22" s="12">
        <f>M22/L22</f>
        <v/>
      </c>
      <c r="O22" s="8" t="n">
        <v>6948</v>
      </c>
      <c r="P22" s="8" t="n">
        <v>26490</v>
      </c>
      <c r="Q22" s="10">
        <f>P22/O22</f>
        <v/>
      </c>
      <c r="R22" s="8" t="n">
        <v>6774</v>
      </c>
    </row>
    <row r="23">
      <c r="A23" s="20" t="n">
        <v>43191</v>
      </c>
      <c r="B23" t="n">
        <v>1</v>
      </c>
      <c r="C23" s="8" t="n">
        <v>6798</v>
      </c>
      <c r="D23" s="5" t="n">
        <v>973534.09</v>
      </c>
      <c r="E23" s="5" t="n">
        <v>159730.87</v>
      </c>
      <c r="F23" s="8" t="n">
        <v>7827</v>
      </c>
      <c r="G23" s="5">
        <f>D23/C23</f>
        <v/>
      </c>
      <c r="H23" s="16">
        <f>IF(AND(B23=1,B22=1),D23/D22-1,"")</f>
        <v/>
      </c>
      <c r="I23" s="16">
        <f>IF(AND(B23=1,B11=1),D23/D11-1,"")</f>
        <v/>
      </c>
      <c r="J23" s="5">
        <f>IF(AND(B23=1,B21=1),SUM(D21:D23),"")</f>
        <v/>
      </c>
      <c r="K23" s="5">
        <f>SUM($D$5:D23)</f>
        <v/>
      </c>
      <c r="L23" s="8" t="n">
        <v>6798</v>
      </c>
      <c r="M23" s="8" t="n">
        <v>306</v>
      </c>
      <c r="N23" s="12">
        <f>M23/L23</f>
        <v/>
      </c>
      <c r="O23" s="8" t="n">
        <v>6752</v>
      </c>
      <c r="P23" s="8" t="n">
        <v>28398</v>
      </c>
      <c r="Q23" s="10">
        <f>P23/O23</f>
        <v/>
      </c>
      <c r="R23" s="8" t="n">
        <v>6582</v>
      </c>
    </row>
    <row r="24">
      <c r="A24" s="20" t="n">
        <v>43221</v>
      </c>
      <c r="B24" t="n">
        <v>1</v>
      </c>
      <c r="C24" s="8" t="n">
        <v>6749</v>
      </c>
      <c r="D24" s="5" t="n">
        <v>977544.6899999999</v>
      </c>
      <c r="E24" s="5" t="n">
        <v>151701.43</v>
      </c>
      <c r="F24" s="8" t="n">
        <v>7810</v>
      </c>
      <c r="G24" s="5">
        <f>D24/C24</f>
        <v/>
      </c>
      <c r="H24" s="16">
        <f>IF(AND(B24=1,B23=1),D24/D23-1,"")</f>
        <v/>
      </c>
      <c r="I24" s="16">
        <f>IF(AND(B24=1,B12=1),D24/D12-1,"")</f>
        <v/>
      </c>
      <c r="J24" s="5">
        <f>IF(AND(B24=1,B22=1),SUM(D22:D24),"")</f>
        <v/>
      </c>
      <c r="K24" s="5">
        <f>SUM($D$5:D24)</f>
        <v/>
      </c>
      <c r="L24" s="8" t="n">
        <v>6749</v>
      </c>
      <c r="M24" s="8" t="n">
        <v>443</v>
      </c>
      <c r="N24" s="12">
        <f>M24/L24</f>
        <v/>
      </c>
      <c r="O24" s="8" t="n">
        <v>6722</v>
      </c>
      <c r="P24" s="8" t="n">
        <v>28477</v>
      </c>
      <c r="Q24" s="10">
        <f>P24/O24</f>
        <v/>
      </c>
      <c r="R24" s="8" t="n">
        <v>6506</v>
      </c>
    </row>
    <row r="25">
      <c r="A25" s="20" t="n">
        <v>43252</v>
      </c>
      <c r="B25" t="n">
        <v>1</v>
      </c>
      <c r="C25" s="8" t="n">
        <v>6099</v>
      </c>
      <c r="D25" s="5" t="n">
        <v>856077.86</v>
      </c>
      <c r="E25" s="5" t="n">
        <v>156124.63</v>
      </c>
      <c r="F25" s="8" t="n">
        <v>7010</v>
      </c>
      <c r="G25" s="5">
        <f>D25/C25</f>
        <v/>
      </c>
      <c r="H25" s="16">
        <f>IF(AND(B25=1,B24=1),D25/D24-1,"")</f>
        <v/>
      </c>
      <c r="I25" s="16">
        <f>IF(AND(B25=1,B13=1),D25/D13-1,"")</f>
        <v/>
      </c>
      <c r="J25" s="5">
        <f>IF(AND(B25=1,B23=1),SUM(D23:D25),"")</f>
        <v/>
      </c>
      <c r="K25" s="5">
        <f>SUM($D$5:D25)</f>
        <v/>
      </c>
      <c r="L25" s="8" t="n">
        <v>6096</v>
      </c>
      <c r="M25" s="8" t="n">
        <v>71</v>
      </c>
      <c r="N25" s="12">
        <f>M25/L25</f>
        <v/>
      </c>
      <c r="O25" s="8" t="n">
        <v>6075</v>
      </c>
      <c r="P25" s="8" t="n">
        <v>26165</v>
      </c>
      <c r="Q25" s="10">
        <f>P25/O25</f>
        <v/>
      </c>
      <c r="R25" s="8" t="n">
        <v>5878</v>
      </c>
    </row>
    <row r="26">
      <c r="A26" s="20" t="n">
        <v>43282</v>
      </c>
      <c r="B26" t="n">
        <v>1</v>
      </c>
      <c r="C26" s="8" t="n">
        <v>6159</v>
      </c>
      <c r="D26" s="5" t="n">
        <v>867953.46</v>
      </c>
      <c r="E26" s="5" t="n">
        <v>159887.08</v>
      </c>
      <c r="F26" s="8" t="n">
        <v>6963</v>
      </c>
      <c r="G26" s="5">
        <f>D26/C26</f>
        <v/>
      </c>
      <c r="H26" s="16">
        <f>IF(AND(B26=1,B25=1),D26/D25-1,"")</f>
        <v/>
      </c>
      <c r="I26" s="16">
        <f>IF(AND(B26=1,B14=1),D26/D14-1,"")</f>
        <v/>
      </c>
      <c r="J26" s="5">
        <f>IF(AND(B26=1,B24=1),SUM(D24:D26),"")</f>
        <v/>
      </c>
      <c r="K26" s="5">
        <f>SUM($D$5:D26)</f>
        <v/>
      </c>
      <c r="L26" s="8" t="n">
        <v>6156</v>
      </c>
      <c r="M26" s="8" t="n">
        <v>208</v>
      </c>
      <c r="N26" s="12">
        <f>M26/L26</f>
        <v/>
      </c>
      <c r="O26" s="8" t="n">
        <v>6121</v>
      </c>
      <c r="P26" s="8" t="n">
        <v>26429</v>
      </c>
      <c r="Q26" s="10">
        <f>P26/O26</f>
        <v/>
      </c>
      <c r="R26" s="8" t="n">
        <v>5949</v>
      </c>
    </row>
    <row r="27">
      <c r="A27" s="20" t="n">
        <v>43313</v>
      </c>
      <c r="B27" t="n">
        <v>1</v>
      </c>
      <c r="C27" s="8" t="n">
        <v>6351</v>
      </c>
      <c r="D27" s="5" t="n">
        <v>838576.64</v>
      </c>
      <c r="E27" s="5" t="n">
        <v>146981.52</v>
      </c>
      <c r="F27" s="8" t="n">
        <v>7142</v>
      </c>
      <c r="G27" s="5">
        <f>D27/C27</f>
        <v/>
      </c>
      <c r="H27" s="16">
        <f>IF(AND(B27=1,B26=1),D27/D26-1,"")</f>
        <v/>
      </c>
      <c r="I27" s="16">
        <f>IF(AND(B27=1,B15=1),D27/D15-1,"")</f>
        <v/>
      </c>
      <c r="J27" s="5">
        <f>IF(AND(B27=1,B25=1),SUM(D25:D27),"")</f>
        <v/>
      </c>
      <c r="K27" s="5">
        <f>SUM($D$5:D27)</f>
        <v/>
      </c>
      <c r="L27" s="8" t="n">
        <v>6351</v>
      </c>
      <c r="M27" s="8" t="n">
        <v>393</v>
      </c>
      <c r="N27" s="12">
        <f>M27/L27</f>
        <v/>
      </c>
      <c r="O27" s="8" t="n">
        <v>6330</v>
      </c>
      <c r="P27" s="8" t="n">
        <v>27284</v>
      </c>
      <c r="Q27" s="10">
        <f>P27/O27</f>
        <v/>
      </c>
      <c r="R27" s="8" t="n">
        <v>6144</v>
      </c>
    </row>
    <row r="28">
      <c r="A28" s="20" t="n"/>
      <c r="C28" s="8" t="n"/>
      <c r="D28" s="5" t="n"/>
      <c r="E28" s="5" t="n"/>
      <c r="F28" s="8" t="n"/>
      <c r="G28" s="5" t="n"/>
      <c r="H28" s="16" t="n"/>
      <c r="I28" s="16" t="n"/>
      <c r="J28" s="5" t="n"/>
      <c r="K28" s="5" t="n"/>
      <c r="L28" s="8" t="n"/>
      <c r="M28" s="8" t="n"/>
      <c r="N28" s="12" t="n"/>
      <c r="O28" s="8" t="n"/>
      <c r="P28" s="8" t="n"/>
      <c r="Q28" s="10" t="n"/>
      <c r="R28" s="8" t="n"/>
    </row>
    <row r="29">
      <c r="A29" s="21" t="inlineStr">
        <is>
          <t>Total</t>
        </is>
      </c>
      <c r="B29" s="21" t="n"/>
      <c r="C29" s="22">
        <f>SUM(C5:C27)</f>
        <v/>
      </c>
      <c r="D29" s="23">
        <f>SUM(D5:D27)</f>
        <v/>
      </c>
      <c r="E29" s="23">
        <f>SUM(E5:E27)</f>
        <v/>
      </c>
      <c r="F29" s="22">
        <f>SUM(F5:F27)</f>
        <v/>
      </c>
      <c r="G29" s="23">
        <f>D29/C29</f>
        <v/>
      </c>
      <c r="H29" s="24" t="n"/>
      <c r="I29" s="24" t="n"/>
      <c r="J29" s="23" t="n"/>
      <c r="K29" s="23" t="n"/>
      <c r="L29" s="22">
        <f>SUM(L5:L27)</f>
        <v/>
      </c>
      <c r="M29" s="22">
        <f>SUM(M5:M27)</f>
        <v/>
      </c>
      <c r="N29" s="25">
        <f>M29/L29</f>
        <v/>
      </c>
      <c r="O29" s="22">
        <f>SUM(O5:O27)</f>
        <v/>
      </c>
      <c r="P29" s="22">
        <f>SUM(P5:P27)</f>
        <v/>
      </c>
      <c r="Q29" s="26">
        <f>P29/O29</f>
        <v/>
      </c>
      <c r="R29" s="22">
        <f>SUM(R5:R27)</f>
        <v/>
      </c>
    </row>
  </sheetData>
  <conditionalFormatting sqref="H5:I27">
    <cfRule type="expression" priority="1" dxfId="2">
      <formula>AND(ISNUMBER(H5),H5&lt;0)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2A78D6"/>
    <outlinePr summaryBelow="1" summaryRight="1"/>
    <pageSetUpPr/>
  </sheetPr>
  <dimension ref="A1:N5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Cohort retention</t>
        </is>
      </c>
    </row>
    <row r="2">
      <c r="A2" s="2" t="inlineStr">
        <is>
          <t>Cohort = month of a customer's first delivered order. Blank = month not observed yet. Top block: returning customers (counts). Bottom block: retention % (formulas).</t>
        </is>
      </c>
    </row>
    <row r="4" ht="32" customHeight="1">
      <c r="A4" s="3" t="inlineStr">
        <is>
          <t>Cohort</t>
        </is>
      </c>
      <c r="B4" s="3" t="inlineStr">
        <is>
          <t>Cohort size</t>
        </is>
      </c>
      <c r="C4" s="3" t="inlineStr">
        <is>
          <t>Month 1</t>
        </is>
      </c>
      <c r="D4" s="3" t="inlineStr">
        <is>
          <t>Month 2</t>
        </is>
      </c>
      <c r="E4" s="3" t="inlineStr">
        <is>
          <t>Month 3</t>
        </is>
      </c>
      <c r="F4" s="3" t="inlineStr">
        <is>
          <t>Month 4</t>
        </is>
      </c>
      <c r="G4" s="3" t="inlineStr">
        <is>
          <t>Month 5</t>
        </is>
      </c>
      <c r="H4" s="3" t="inlineStr">
        <is>
          <t>Month 6</t>
        </is>
      </c>
      <c r="I4" s="3" t="inlineStr">
        <is>
          <t>Month 7</t>
        </is>
      </c>
      <c r="J4" s="3" t="inlineStr">
        <is>
          <t>Month 8</t>
        </is>
      </c>
      <c r="K4" s="3" t="inlineStr">
        <is>
          <t>Month 9</t>
        </is>
      </c>
      <c r="L4" s="3" t="inlineStr">
        <is>
          <t>Month 10</t>
        </is>
      </c>
      <c r="M4" s="3" t="inlineStr">
        <is>
          <t>Month 11</t>
        </is>
      </c>
      <c r="N4" s="3" t="inlineStr">
        <is>
          <t>Month 12</t>
        </is>
      </c>
    </row>
    <row r="5">
      <c r="A5" s="20" t="n">
        <v>42736</v>
      </c>
      <c r="B5" s="8" t="n">
        <v>717</v>
      </c>
      <c r="C5" t="n">
        <v>2</v>
      </c>
      <c r="D5" t="n">
        <v>2</v>
      </c>
      <c r="E5" t="n">
        <v>1</v>
      </c>
      <c r="F5" t="n">
        <v>3</v>
      </c>
      <c r="G5" t="n">
        <v>1</v>
      </c>
      <c r="H5" t="n">
        <v>3</v>
      </c>
      <c r="I5" t="n">
        <v>1</v>
      </c>
      <c r="J5" t="n">
        <v>1</v>
      </c>
      <c r="K5" t="n">
        <v>0</v>
      </c>
      <c r="L5" t="n">
        <v>3</v>
      </c>
      <c r="M5" t="n">
        <v>1</v>
      </c>
      <c r="N5" t="n">
        <v>5</v>
      </c>
    </row>
    <row r="6">
      <c r="A6" s="20" t="n">
        <v>42767</v>
      </c>
      <c r="B6" s="8" t="n">
        <v>1628</v>
      </c>
      <c r="C6" t="n">
        <v>3</v>
      </c>
      <c r="D6" t="n">
        <v>5</v>
      </c>
      <c r="E6" t="n">
        <v>2</v>
      </c>
      <c r="F6" t="n">
        <v>7</v>
      </c>
      <c r="G6" t="n">
        <v>2</v>
      </c>
      <c r="H6" t="n">
        <v>4</v>
      </c>
      <c r="I6" t="n">
        <v>3</v>
      </c>
      <c r="J6" t="n">
        <v>2</v>
      </c>
      <c r="K6" t="n">
        <v>3</v>
      </c>
      <c r="L6" t="n">
        <v>2</v>
      </c>
      <c r="M6" t="n">
        <v>5</v>
      </c>
      <c r="N6" t="n">
        <v>2</v>
      </c>
    </row>
    <row r="7">
      <c r="A7" s="20" t="n">
        <v>42795</v>
      </c>
      <c r="B7" s="8" t="n">
        <v>2503</v>
      </c>
      <c r="C7" t="n">
        <v>11</v>
      </c>
      <c r="D7" t="n">
        <v>9</v>
      </c>
      <c r="E7" t="n">
        <v>10</v>
      </c>
      <c r="F7" t="n">
        <v>9</v>
      </c>
      <c r="G7" t="n">
        <v>4</v>
      </c>
      <c r="H7" t="n">
        <v>4</v>
      </c>
      <c r="I7" t="n">
        <v>8</v>
      </c>
      <c r="J7" t="n">
        <v>8</v>
      </c>
      <c r="K7" t="n">
        <v>2</v>
      </c>
      <c r="L7" t="n">
        <v>9</v>
      </c>
      <c r="M7" t="n">
        <v>3</v>
      </c>
      <c r="N7" t="n">
        <v>5</v>
      </c>
    </row>
    <row r="8">
      <c r="A8" s="20" t="n">
        <v>42826</v>
      </c>
      <c r="B8" s="8" t="n">
        <v>2256</v>
      </c>
      <c r="C8" t="n">
        <v>14</v>
      </c>
      <c r="D8" t="n">
        <v>5</v>
      </c>
      <c r="E8" t="n">
        <v>4</v>
      </c>
      <c r="F8" t="n">
        <v>6</v>
      </c>
      <c r="G8" t="n">
        <v>6</v>
      </c>
      <c r="H8" t="n">
        <v>8</v>
      </c>
      <c r="I8" t="n">
        <v>7</v>
      </c>
      <c r="J8" t="n">
        <v>7</v>
      </c>
      <c r="K8" t="n">
        <v>4</v>
      </c>
      <c r="L8" t="n">
        <v>6</v>
      </c>
      <c r="M8" t="n">
        <v>2</v>
      </c>
      <c r="N8" t="n">
        <v>1</v>
      </c>
    </row>
    <row r="9">
      <c r="A9" s="20" t="n">
        <v>42856</v>
      </c>
      <c r="B9" s="8" t="n">
        <v>3451</v>
      </c>
      <c r="C9" t="n">
        <v>16</v>
      </c>
      <c r="D9" t="n">
        <v>16</v>
      </c>
      <c r="E9" t="n">
        <v>10</v>
      </c>
      <c r="F9" t="n">
        <v>10</v>
      </c>
      <c r="G9" t="n">
        <v>11</v>
      </c>
      <c r="H9" t="n">
        <v>14</v>
      </c>
      <c r="I9" t="n">
        <v>5</v>
      </c>
      <c r="J9" t="n">
        <v>9</v>
      </c>
      <c r="K9" t="n">
        <v>9</v>
      </c>
      <c r="L9" t="n">
        <v>9</v>
      </c>
      <c r="M9" t="n">
        <v>12</v>
      </c>
      <c r="N9" t="n">
        <v>8</v>
      </c>
    </row>
    <row r="10">
      <c r="A10" s="20" t="n">
        <v>42887</v>
      </c>
      <c r="B10" s="8" t="n">
        <v>3037</v>
      </c>
      <c r="C10" t="n">
        <v>15</v>
      </c>
      <c r="D10" t="n">
        <v>12</v>
      </c>
      <c r="E10" t="n">
        <v>13</v>
      </c>
      <c r="F10" t="n">
        <v>9</v>
      </c>
      <c r="G10" t="n">
        <v>12</v>
      </c>
      <c r="H10" t="n">
        <v>11</v>
      </c>
      <c r="I10" t="n">
        <v>7</v>
      </c>
      <c r="J10" t="n">
        <v>4</v>
      </c>
      <c r="K10" t="n">
        <v>6</v>
      </c>
      <c r="L10" t="n">
        <v>9</v>
      </c>
      <c r="M10" t="n">
        <v>11</v>
      </c>
      <c r="N10" t="n">
        <v>5</v>
      </c>
    </row>
    <row r="11">
      <c r="A11" s="20" t="n">
        <v>42917</v>
      </c>
      <c r="B11" s="8" t="n">
        <v>3752</v>
      </c>
      <c r="C11" t="n">
        <v>20</v>
      </c>
      <c r="D11" t="n">
        <v>13</v>
      </c>
      <c r="E11" t="n">
        <v>9</v>
      </c>
      <c r="F11" t="n">
        <v>11</v>
      </c>
      <c r="G11" t="n">
        <v>8</v>
      </c>
      <c r="H11" t="n">
        <v>12</v>
      </c>
      <c r="I11" t="n">
        <v>4</v>
      </c>
      <c r="J11" t="n">
        <v>7</v>
      </c>
      <c r="K11" t="n">
        <v>10</v>
      </c>
      <c r="L11" t="n">
        <v>8</v>
      </c>
      <c r="M11" t="n">
        <v>11</v>
      </c>
      <c r="N11" t="n">
        <v>5</v>
      </c>
    </row>
    <row r="12">
      <c r="A12" s="20" t="n">
        <v>42948</v>
      </c>
      <c r="B12" s="8" t="n">
        <v>4057</v>
      </c>
      <c r="C12" t="n">
        <v>28</v>
      </c>
      <c r="D12" t="n">
        <v>14</v>
      </c>
      <c r="E12" t="n">
        <v>11</v>
      </c>
      <c r="F12" t="n">
        <v>14</v>
      </c>
      <c r="G12" t="n">
        <v>21</v>
      </c>
      <c r="H12" t="n">
        <v>12</v>
      </c>
      <c r="I12" t="n">
        <v>11</v>
      </c>
      <c r="J12" t="n">
        <v>6</v>
      </c>
      <c r="K12" t="n">
        <v>6</v>
      </c>
      <c r="L12" t="n">
        <v>10</v>
      </c>
      <c r="M12" t="n">
        <v>8</v>
      </c>
      <c r="N12" t="n">
        <v>5</v>
      </c>
    </row>
    <row r="13">
      <c r="A13" s="20" t="n">
        <v>42979</v>
      </c>
      <c r="B13" s="8" t="n">
        <v>4004</v>
      </c>
      <c r="C13" t="n">
        <v>28</v>
      </c>
      <c r="D13" t="n">
        <v>22</v>
      </c>
      <c r="E13" t="n">
        <v>11</v>
      </c>
      <c r="F13" t="n">
        <v>18</v>
      </c>
      <c r="G13" t="n">
        <v>9</v>
      </c>
      <c r="H13" t="n">
        <v>9</v>
      </c>
      <c r="I13" t="n">
        <v>10</v>
      </c>
      <c r="J13" t="n">
        <v>11</v>
      </c>
      <c r="K13" t="n">
        <v>7</v>
      </c>
      <c r="L13" t="n">
        <v>10</v>
      </c>
      <c r="M13" t="n">
        <v>3</v>
      </c>
    </row>
    <row r="14">
      <c r="A14" s="20" t="n">
        <v>43009</v>
      </c>
      <c r="B14" s="8" t="n">
        <v>4328</v>
      </c>
      <c r="C14" t="n">
        <v>31</v>
      </c>
      <c r="D14" t="n">
        <v>11</v>
      </c>
      <c r="E14" t="n">
        <v>4</v>
      </c>
      <c r="F14" t="n">
        <v>10</v>
      </c>
      <c r="G14" t="n">
        <v>9</v>
      </c>
      <c r="H14" t="n">
        <v>9</v>
      </c>
      <c r="I14" t="n">
        <v>16</v>
      </c>
      <c r="J14" t="n">
        <v>12</v>
      </c>
      <c r="K14" t="n">
        <v>8</v>
      </c>
      <c r="L14" t="n">
        <v>9</v>
      </c>
    </row>
    <row r="15">
      <c r="A15" s="20" t="n">
        <v>43040</v>
      </c>
      <c r="B15" s="8" t="n">
        <v>7060</v>
      </c>
      <c r="C15" t="n">
        <v>40</v>
      </c>
      <c r="D15" t="n">
        <v>26</v>
      </c>
      <c r="E15" t="n">
        <v>12</v>
      </c>
      <c r="F15" t="n">
        <v>12</v>
      </c>
      <c r="G15" t="n">
        <v>13</v>
      </c>
      <c r="H15" t="n">
        <v>8</v>
      </c>
      <c r="I15" t="n">
        <v>13</v>
      </c>
      <c r="J15" t="n">
        <v>9</v>
      </c>
      <c r="K15" t="n">
        <v>4</v>
      </c>
    </row>
    <row r="16">
      <c r="A16" s="20" t="n">
        <v>43070</v>
      </c>
      <c r="B16" s="8" t="n">
        <v>5338</v>
      </c>
      <c r="C16" t="n">
        <v>11</v>
      </c>
      <c r="D16" t="n">
        <v>15</v>
      </c>
      <c r="E16" t="n">
        <v>18</v>
      </c>
      <c r="F16" t="n">
        <v>14</v>
      </c>
      <c r="G16" t="n">
        <v>11</v>
      </c>
      <c r="H16" t="n">
        <v>9</v>
      </c>
      <c r="I16" t="n">
        <v>1</v>
      </c>
      <c r="J16" t="n">
        <v>10</v>
      </c>
    </row>
    <row r="17">
      <c r="A17" s="20" t="n">
        <v>43101</v>
      </c>
      <c r="B17" s="8" t="n">
        <v>6842</v>
      </c>
      <c r="C17" t="n">
        <v>23</v>
      </c>
      <c r="D17" t="n">
        <v>25</v>
      </c>
      <c r="E17" t="n">
        <v>20</v>
      </c>
      <c r="F17" t="n">
        <v>20</v>
      </c>
      <c r="G17" t="n">
        <v>11</v>
      </c>
      <c r="H17" t="n">
        <v>12</v>
      </c>
      <c r="I17" t="n">
        <v>16</v>
      </c>
    </row>
    <row r="18">
      <c r="A18" s="20" t="n">
        <v>43132</v>
      </c>
      <c r="B18" s="8" t="n">
        <v>6288</v>
      </c>
      <c r="C18" t="n">
        <v>22</v>
      </c>
      <c r="D18" t="n">
        <v>25</v>
      </c>
      <c r="E18" t="n">
        <v>19</v>
      </c>
      <c r="F18" t="n">
        <v>16</v>
      </c>
      <c r="G18" t="n">
        <v>14</v>
      </c>
      <c r="H18" t="n">
        <v>13</v>
      </c>
    </row>
    <row r="19">
      <c r="A19" s="20" t="n">
        <v>43160</v>
      </c>
      <c r="B19" s="8" t="n">
        <v>6774</v>
      </c>
      <c r="C19" t="n">
        <v>27</v>
      </c>
      <c r="D19" t="n">
        <v>20</v>
      </c>
      <c r="E19" t="n">
        <v>20</v>
      </c>
      <c r="F19" t="n">
        <v>8</v>
      </c>
      <c r="G19" t="n">
        <v>8</v>
      </c>
    </row>
    <row r="20">
      <c r="A20" s="20" t="n">
        <v>43191</v>
      </c>
      <c r="B20" s="8" t="n">
        <v>6582</v>
      </c>
      <c r="C20" t="n">
        <v>39</v>
      </c>
      <c r="D20" t="n">
        <v>20</v>
      </c>
      <c r="E20" t="n">
        <v>16</v>
      </c>
      <c r="F20" t="n">
        <v>9</v>
      </c>
    </row>
    <row r="21">
      <c r="A21" s="20" t="n">
        <v>43221</v>
      </c>
      <c r="B21" s="8" t="n">
        <v>6506</v>
      </c>
      <c r="C21" t="n">
        <v>34</v>
      </c>
      <c r="D21" t="n">
        <v>17</v>
      </c>
      <c r="E21" t="n">
        <v>12</v>
      </c>
    </row>
    <row r="22">
      <c r="A22" s="20" t="n">
        <v>43252</v>
      </c>
      <c r="B22" s="8" t="n">
        <v>5878</v>
      </c>
      <c r="C22" t="n">
        <v>25</v>
      </c>
      <c r="D22" t="n">
        <v>16</v>
      </c>
    </row>
    <row r="23">
      <c r="A23" s="20" t="n">
        <v>43282</v>
      </c>
      <c r="B23" s="8" t="n">
        <v>5949</v>
      </c>
      <c r="C23" t="n">
        <v>31</v>
      </c>
    </row>
    <row r="24">
      <c r="A24" s="20" t="n">
        <v>43313</v>
      </c>
      <c r="B24" s="8" t="n">
        <v>6144</v>
      </c>
    </row>
    <row r="27">
      <c r="A27" s="14" t="inlineStr">
        <is>
          <t>Retention % of cohort</t>
        </is>
      </c>
    </row>
    <row r="28" ht="32" customHeight="1">
      <c r="A28" s="3" t="inlineStr">
        <is>
          <t>Cohort</t>
        </is>
      </c>
      <c r="B28" s="3" t="inlineStr">
        <is>
          <t>Month 0</t>
        </is>
      </c>
      <c r="C28" s="3" t="inlineStr">
        <is>
          <t>Month 1</t>
        </is>
      </c>
      <c r="D28" s="3" t="inlineStr">
        <is>
          <t>Month 2</t>
        </is>
      </c>
      <c r="E28" s="3" t="inlineStr">
        <is>
          <t>Month 3</t>
        </is>
      </c>
      <c r="F28" s="3" t="inlineStr">
        <is>
          <t>Month 4</t>
        </is>
      </c>
      <c r="G28" s="3" t="inlineStr">
        <is>
          <t>Month 5</t>
        </is>
      </c>
      <c r="H28" s="3" t="inlineStr">
        <is>
          <t>Month 6</t>
        </is>
      </c>
      <c r="I28" s="3" t="inlineStr">
        <is>
          <t>Month 7</t>
        </is>
      </c>
      <c r="J28" s="3" t="inlineStr">
        <is>
          <t>Month 8</t>
        </is>
      </c>
      <c r="K28" s="3" t="inlineStr">
        <is>
          <t>Month 9</t>
        </is>
      </c>
      <c r="L28" s="3" t="inlineStr">
        <is>
          <t>Month 10</t>
        </is>
      </c>
      <c r="M28" s="3" t="inlineStr">
        <is>
          <t>Month 11</t>
        </is>
      </c>
      <c r="N28" s="3" t="inlineStr">
        <is>
          <t>Month 12</t>
        </is>
      </c>
    </row>
    <row r="29">
      <c r="A29" s="20">
        <f>A5</f>
        <v/>
      </c>
      <c r="B29" s="12">
        <f>B5/B5</f>
        <v/>
      </c>
      <c r="C29" s="12">
        <f>IF(C5="","",C5/$B5)</f>
        <v/>
      </c>
      <c r="D29" s="12">
        <f>IF(D5="","",D5/$B5)</f>
        <v/>
      </c>
      <c r="E29" s="12">
        <f>IF(E5="","",E5/$B5)</f>
        <v/>
      </c>
      <c r="F29" s="12">
        <f>IF(F5="","",F5/$B5)</f>
        <v/>
      </c>
      <c r="G29" s="12">
        <f>IF(G5="","",G5/$B5)</f>
        <v/>
      </c>
      <c r="H29" s="12">
        <f>IF(H5="","",H5/$B5)</f>
        <v/>
      </c>
      <c r="I29" s="12">
        <f>IF(I5="","",I5/$B5)</f>
        <v/>
      </c>
      <c r="J29" s="12">
        <f>IF(J5="","",J5/$B5)</f>
        <v/>
      </c>
      <c r="K29" s="12">
        <f>IF(K5="","",K5/$B5)</f>
        <v/>
      </c>
      <c r="L29" s="12">
        <f>IF(L5="","",L5/$B5)</f>
        <v/>
      </c>
      <c r="M29" s="12">
        <f>IF(M5="","",M5/$B5)</f>
        <v/>
      </c>
      <c r="N29" s="12">
        <f>IF(N5="","",N5/$B5)</f>
        <v/>
      </c>
    </row>
    <row r="30">
      <c r="A30" s="20">
        <f>A6</f>
        <v/>
      </c>
      <c r="B30" s="12">
        <f>B6/B6</f>
        <v/>
      </c>
      <c r="C30" s="12">
        <f>IF(C6="","",C6/$B6)</f>
        <v/>
      </c>
      <c r="D30" s="12">
        <f>IF(D6="","",D6/$B6)</f>
        <v/>
      </c>
      <c r="E30" s="12">
        <f>IF(E6="","",E6/$B6)</f>
        <v/>
      </c>
      <c r="F30" s="12">
        <f>IF(F6="","",F6/$B6)</f>
        <v/>
      </c>
      <c r="G30" s="12">
        <f>IF(G6="","",G6/$B6)</f>
        <v/>
      </c>
      <c r="H30" s="12">
        <f>IF(H6="","",H6/$B6)</f>
        <v/>
      </c>
      <c r="I30" s="12">
        <f>IF(I6="","",I6/$B6)</f>
        <v/>
      </c>
      <c r="J30" s="12">
        <f>IF(J6="","",J6/$B6)</f>
        <v/>
      </c>
      <c r="K30" s="12">
        <f>IF(K6="","",K6/$B6)</f>
        <v/>
      </c>
      <c r="L30" s="12">
        <f>IF(L6="","",L6/$B6)</f>
        <v/>
      </c>
      <c r="M30" s="12">
        <f>IF(M6="","",M6/$B6)</f>
        <v/>
      </c>
      <c r="N30" s="12">
        <f>IF(N6="","",N6/$B6)</f>
        <v/>
      </c>
    </row>
    <row r="31">
      <c r="A31" s="20">
        <f>A7</f>
        <v/>
      </c>
      <c r="B31" s="12">
        <f>B7/B7</f>
        <v/>
      </c>
      <c r="C31" s="12">
        <f>IF(C7="","",C7/$B7)</f>
        <v/>
      </c>
      <c r="D31" s="12">
        <f>IF(D7="","",D7/$B7)</f>
        <v/>
      </c>
      <c r="E31" s="12">
        <f>IF(E7="","",E7/$B7)</f>
        <v/>
      </c>
      <c r="F31" s="12">
        <f>IF(F7="","",F7/$B7)</f>
        <v/>
      </c>
      <c r="G31" s="12">
        <f>IF(G7="","",G7/$B7)</f>
        <v/>
      </c>
      <c r="H31" s="12">
        <f>IF(H7="","",H7/$B7)</f>
        <v/>
      </c>
      <c r="I31" s="12">
        <f>IF(I7="","",I7/$B7)</f>
        <v/>
      </c>
      <c r="J31" s="12">
        <f>IF(J7="","",J7/$B7)</f>
        <v/>
      </c>
      <c r="K31" s="12">
        <f>IF(K7="","",K7/$B7)</f>
        <v/>
      </c>
      <c r="L31" s="12">
        <f>IF(L7="","",L7/$B7)</f>
        <v/>
      </c>
      <c r="M31" s="12">
        <f>IF(M7="","",M7/$B7)</f>
        <v/>
      </c>
      <c r="N31" s="12">
        <f>IF(N7="","",N7/$B7)</f>
        <v/>
      </c>
    </row>
    <row r="32">
      <c r="A32" s="20">
        <f>A8</f>
        <v/>
      </c>
      <c r="B32" s="12">
        <f>B8/B8</f>
        <v/>
      </c>
      <c r="C32" s="12">
        <f>IF(C8="","",C8/$B8)</f>
        <v/>
      </c>
      <c r="D32" s="12">
        <f>IF(D8="","",D8/$B8)</f>
        <v/>
      </c>
      <c r="E32" s="12">
        <f>IF(E8="","",E8/$B8)</f>
        <v/>
      </c>
      <c r="F32" s="12">
        <f>IF(F8="","",F8/$B8)</f>
        <v/>
      </c>
      <c r="G32" s="12">
        <f>IF(G8="","",G8/$B8)</f>
        <v/>
      </c>
      <c r="H32" s="12">
        <f>IF(H8="","",H8/$B8)</f>
        <v/>
      </c>
      <c r="I32" s="12">
        <f>IF(I8="","",I8/$B8)</f>
        <v/>
      </c>
      <c r="J32" s="12">
        <f>IF(J8="","",J8/$B8)</f>
        <v/>
      </c>
      <c r="K32" s="12">
        <f>IF(K8="","",K8/$B8)</f>
        <v/>
      </c>
      <c r="L32" s="12">
        <f>IF(L8="","",L8/$B8)</f>
        <v/>
      </c>
      <c r="M32" s="12">
        <f>IF(M8="","",M8/$B8)</f>
        <v/>
      </c>
      <c r="N32" s="12">
        <f>IF(N8="","",N8/$B8)</f>
        <v/>
      </c>
    </row>
    <row r="33">
      <c r="A33" s="20">
        <f>A9</f>
        <v/>
      </c>
      <c r="B33" s="12">
        <f>B9/B9</f>
        <v/>
      </c>
      <c r="C33" s="12">
        <f>IF(C9="","",C9/$B9)</f>
        <v/>
      </c>
      <c r="D33" s="12">
        <f>IF(D9="","",D9/$B9)</f>
        <v/>
      </c>
      <c r="E33" s="12">
        <f>IF(E9="","",E9/$B9)</f>
        <v/>
      </c>
      <c r="F33" s="12">
        <f>IF(F9="","",F9/$B9)</f>
        <v/>
      </c>
      <c r="G33" s="12">
        <f>IF(G9="","",G9/$B9)</f>
        <v/>
      </c>
      <c r="H33" s="12">
        <f>IF(H9="","",H9/$B9)</f>
        <v/>
      </c>
      <c r="I33" s="12">
        <f>IF(I9="","",I9/$B9)</f>
        <v/>
      </c>
      <c r="J33" s="12">
        <f>IF(J9="","",J9/$B9)</f>
        <v/>
      </c>
      <c r="K33" s="12">
        <f>IF(K9="","",K9/$B9)</f>
        <v/>
      </c>
      <c r="L33" s="12">
        <f>IF(L9="","",L9/$B9)</f>
        <v/>
      </c>
      <c r="M33" s="12">
        <f>IF(M9="","",M9/$B9)</f>
        <v/>
      </c>
      <c r="N33" s="12">
        <f>IF(N9="","",N9/$B9)</f>
        <v/>
      </c>
    </row>
    <row r="34">
      <c r="A34" s="20">
        <f>A10</f>
        <v/>
      </c>
      <c r="B34" s="12">
        <f>B10/B10</f>
        <v/>
      </c>
      <c r="C34" s="12">
        <f>IF(C10="","",C10/$B10)</f>
        <v/>
      </c>
      <c r="D34" s="12">
        <f>IF(D10="","",D10/$B10)</f>
        <v/>
      </c>
      <c r="E34" s="12">
        <f>IF(E10="","",E10/$B10)</f>
        <v/>
      </c>
      <c r="F34" s="12">
        <f>IF(F10="","",F10/$B10)</f>
        <v/>
      </c>
      <c r="G34" s="12">
        <f>IF(G10="","",G10/$B10)</f>
        <v/>
      </c>
      <c r="H34" s="12">
        <f>IF(H10="","",H10/$B10)</f>
        <v/>
      </c>
      <c r="I34" s="12">
        <f>IF(I10="","",I10/$B10)</f>
        <v/>
      </c>
      <c r="J34" s="12">
        <f>IF(J10="","",J10/$B10)</f>
        <v/>
      </c>
      <c r="K34" s="12">
        <f>IF(K10="","",K10/$B10)</f>
        <v/>
      </c>
      <c r="L34" s="12">
        <f>IF(L10="","",L10/$B10)</f>
        <v/>
      </c>
      <c r="M34" s="12">
        <f>IF(M10="","",M10/$B10)</f>
        <v/>
      </c>
      <c r="N34" s="12">
        <f>IF(N10="","",N10/$B10)</f>
        <v/>
      </c>
    </row>
    <row r="35">
      <c r="A35" s="20">
        <f>A11</f>
        <v/>
      </c>
      <c r="B35" s="12">
        <f>B11/B11</f>
        <v/>
      </c>
      <c r="C35" s="12">
        <f>IF(C11="","",C11/$B11)</f>
        <v/>
      </c>
      <c r="D35" s="12">
        <f>IF(D11="","",D11/$B11)</f>
        <v/>
      </c>
      <c r="E35" s="12">
        <f>IF(E11="","",E11/$B11)</f>
        <v/>
      </c>
      <c r="F35" s="12">
        <f>IF(F11="","",F11/$B11)</f>
        <v/>
      </c>
      <c r="G35" s="12">
        <f>IF(G11="","",G11/$B11)</f>
        <v/>
      </c>
      <c r="H35" s="12">
        <f>IF(H11="","",H11/$B11)</f>
        <v/>
      </c>
      <c r="I35" s="12">
        <f>IF(I11="","",I11/$B11)</f>
        <v/>
      </c>
      <c r="J35" s="12">
        <f>IF(J11="","",J11/$B11)</f>
        <v/>
      </c>
      <c r="K35" s="12">
        <f>IF(K11="","",K11/$B11)</f>
        <v/>
      </c>
      <c r="L35" s="12">
        <f>IF(L11="","",L11/$B11)</f>
        <v/>
      </c>
      <c r="M35" s="12">
        <f>IF(M11="","",M11/$B11)</f>
        <v/>
      </c>
      <c r="N35" s="12">
        <f>IF(N11="","",N11/$B11)</f>
        <v/>
      </c>
    </row>
    <row r="36">
      <c r="A36" s="20">
        <f>A12</f>
        <v/>
      </c>
      <c r="B36" s="12">
        <f>B12/B12</f>
        <v/>
      </c>
      <c r="C36" s="12">
        <f>IF(C12="","",C12/$B12)</f>
        <v/>
      </c>
      <c r="D36" s="12">
        <f>IF(D12="","",D12/$B12)</f>
        <v/>
      </c>
      <c r="E36" s="12">
        <f>IF(E12="","",E12/$B12)</f>
        <v/>
      </c>
      <c r="F36" s="12">
        <f>IF(F12="","",F12/$B12)</f>
        <v/>
      </c>
      <c r="G36" s="12">
        <f>IF(G12="","",G12/$B12)</f>
        <v/>
      </c>
      <c r="H36" s="12">
        <f>IF(H12="","",H12/$B12)</f>
        <v/>
      </c>
      <c r="I36" s="12">
        <f>IF(I12="","",I12/$B12)</f>
        <v/>
      </c>
      <c r="J36" s="12">
        <f>IF(J12="","",J12/$B12)</f>
        <v/>
      </c>
      <c r="K36" s="12">
        <f>IF(K12="","",K12/$B12)</f>
        <v/>
      </c>
      <c r="L36" s="12">
        <f>IF(L12="","",L12/$B12)</f>
        <v/>
      </c>
      <c r="M36" s="12">
        <f>IF(M12="","",M12/$B12)</f>
        <v/>
      </c>
      <c r="N36" s="12">
        <f>IF(N12="","",N12/$B12)</f>
        <v/>
      </c>
    </row>
    <row r="37">
      <c r="A37" s="20">
        <f>A13</f>
        <v/>
      </c>
      <c r="B37" s="12">
        <f>B13/B13</f>
        <v/>
      </c>
      <c r="C37" s="12">
        <f>IF(C13="","",C13/$B13)</f>
        <v/>
      </c>
      <c r="D37" s="12">
        <f>IF(D13="","",D13/$B13)</f>
        <v/>
      </c>
      <c r="E37" s="12">
        <f>IF(E13="","",E13/$B13)</f>
        <v/>
      </c>
      <c r="F37" s="12">
        <f>IF(F13="","",F13/$B13)</f>
        <v/>
      </c>
      <c r="G37" s="12">
        <f>IF(G13="","",G13/$B13)</f>
        <v/>
      </c>
      <c r="H37" s="12">
        <f>IF(H13="","",H13/$B13)</f>
        <v/>
      </c>
      <c r="I37" s="12">
        <f>IF(I13="","",I13/$B13)</f>
        <v/>
      </c>
      <c r="J37" s="12">
        <f>IF(J13="","",J13/$B13)</f>
        <v/>
      </c>
      <c r="K37" s="12">
        <f>IF(K13="","",K13/$B13)</f>
        <v/>
      </c>
      <c r="L37" s="12">
        <f>IF(L13="","",L13/$B13)</f>
        <v/>
      </c>
      <c r="M37" s="12">
        <f>IF(M13="","",M13/$B13)</f>
        <v/>
      </c>
      <c r="N37" s="12">
        <f>IF(N13="","",N13/$B13)</f>
        <v/>
      </c>
    </row>
    <row r="38">
      <c r="A38" s="20">
        <f>A14</f>
        <v/>
      </c>
      <c r="B38" s="12">
        <f>B14/B14</f>
        <v/>
      </c>
      <c r="C38" s="12">
        <f>IF(C14="","",C14/$B14)</f>
        <v/>
      </c>
      <c r="D38" s="12">
        <f>IF(D14="","",D14/$B14)</f>
        <v/>
      </c>
      <c r="E38" s="12">
        <f>IF(E14="","",E14/$B14)</f>
        <v/>
      </c>
      <c r="F38" s="12">
        <f>IF(F14="","",F14/$B14)</f>
        <v/>
      </c>
      <c r="G38" s="12">
        <f>IF(G14="","",G14/$B14)</f>
        <v/>
      </c>
      <c r="H38" s="12">
        <f>IF(H14="","",H14/$B14)</f>
        <v/>
      </c>
      <c r="I38" s="12">
        <f>IF(I14="","",I14/$B14)</f>
        <v/>
      </c>
      <c r="J38" s="12">
        <f>IF(J14="","",J14/$B14)</f>
        <v/>
      </c>
      <c r="K38" s="12">
        <f>IF(K14="","",K14/$B14)</f>
        <v/>
      </c>
      <c r="L38" s="12">
        <f>IF(L14="","",L14/$B14)</f>
        <v/>
      </c>
      <c r="M38" s="12">
        <f>IF(M14="","",M14/$B14)</f>
        <v/>
      </c>
      <c r="N38" s="12">
        <f>IF(N14="","",N14/$B14)</f>
        <v/>
      </c>
    </row>
    <row r="39">
      <c r="A39" s="20">
        <f>A15</f>
        <v/>
      </c>
      <c r="B39" s="12">
        <f>B15/B15</f>
        <v/>
      </c>
      <c r="C39" s="12">
        <f>IF(C15="","",C15/$B15)</f>
        <v/>
      </c>
      <c r="D39" s="12">
        <f>IF(D15="","",D15/$B15)</f>
        <v/>
      </c>
      <c r="E39" s="12">
        <f>IF(E15="","",E15/$B15)</f>
        <v/>
      </c>
      <c r="F39" s="12">
        <f>IF(F15="","",F15/$B15)</f>
        <v/>
      </c>
      <c r="G39" s="12">
        <f>IF(G15="","",G15/$B15)</f>
        <v/>
      </c>
      <c r="H39" s="12">
        <f>IF(H15="","",H15/$B15)</f>
        <v/>
      </c>
      <c r="I39" s="12">
        <f>IF(I15="","",I15/$B15)</f>
        <v/>
      </c>
      <c r="J39" s="12">
        <f>IF(J15="","",J15/$B15)</f>
        <v/>
      </c>
      <c r="K39" s="12">
        <f>IF(K15="","",K15/$B15)</f>
        <v/>
      </c>
      <c r="L39" s="12">
        <f>IF(L15="","",L15/$B15)</f>
        <v/>
      </c>
      <c r="M39" s="12">
        <f>IF(M15="","",M15/$B15)</f>
        <v/>
      </c>
      <c r="N39" s="12">
        <f>IF(N15="","",N15/$B15)</f>
        <v/>
      </c>
    </row>
    <row r="40">
      <c r="A40" s="20">
        <f>A16</f>
        <v/>
      </c>
      <c r="B40" s="12">
        <f>B16/B16</f>
        <v/>
      </c>
      <c r="C40" s="12">
        <f>IF(C16="","",C16/$B16)</f>
        <v/>
      </c>
      <c r="D40" s="12">
        <f>IF(D16="","",D16/$B16)</f>
        <v/>
      </c>
      <c r="E40" s="12">
        <f>IF(E16="","",E16/$B16)</f>
        <v/>
      </c>
      <c r="F40" s="12">
        <f>IF(F16="","",F16/$B16)</f>
        <v/>
      </c>
      <c r="G40" s="12">
        <f>IF(G16="","",G16/$B16)</f>
        <v/>
      </c>
      <c r="H40" s="12">
        <f>IF(H16="","",H16/$B16)</f>
        <v/>
      </c>
      <c r="I40" s="12">
        <f>IF(I16="","",I16/$B16)</f>
        <v/>
      </c>
      <c r="J40" s="12">
        <f>IF(J16="","",J16/$B16)</f>
        <v/>
      </c>
      <c r="K40" s="12">
        <f>IF(K16="","",K16/$B16)</f>
        <v/>
      </c>
      <c r="L40" s="12">
        <f>IF(L16="","",L16/$B16)</f>
        <v/>
      </c>
      <c r="M40" s="12">
        <f>IF(M16="","",M16/$B16)</f>
        <v/>
      </c>
      <c r="N40" s="12">
        <f>IF(N16="","",N16/$B16)</f>
        <v/>
      </c>
    </row>
    <row r="41">
      <c r="A41" s="20">
        <f>A17</f>
        <v/>
      </c>
      <c r="B41" s="12">
        <f>B17/B17</f>
        <v/>
      </c>
      <c r="C41" s="12">
        <f>IF(C17="","",C17/$B17)</f>
        <v/>
      </c>
      <c r="D41" s="12">
        <f>IF(D17="","",D17/$B17)</f>
        <v/>
      </c>
      <c r="E41" s="12">
        <f>IF(E17="","",E17/$B17)</f>
        <v/>
      </c>
      <c r="F41" s="12">
        <f>IF(F17="","",F17/$B17)</f>
        <v/>
      </c>
      <c r="G41" s="12">
        <f>IF(G17="","",G17/$B17)</f>
        <v/>
      </c>
      <c r="H41" s="12">
        <f>IF(H17="","",H17/$B17)</f>
        <v/>
      </c>
      <c r="I41" s="12">
        <f>IF(I17="","",I17/$B17)</f>
        <v/>
      </c>
      <c r="J41" s="12">
        <f>IF(J17="","",J17/$B17)</f>
        <v/>
      </c>
      <c r="K41" s="12">
        <f>IF(K17="","",K17/$B17)</f>
        <v/>
      </c>
      <c r="L41" s="12">
        <f>IF(L17="","",L17/$B17)</f>
        <v/>
      </c>
      <c r="M41" s="12">
        <f>IF(M17="","",M17/$B17)</f>
        <v/>
      </c>
      <c r="N41" s="12">
        <f>IF(N17="","",N17/$B17)</f>
        <v/>
      </c>
    </row>
    <row r="42">
      <c r="A42" s="20">
        <f>A18</f>
        <v/>
      </c>
      <c r="B42" s="12">
        <f>B18/B18</f>
        <v/>
      </c>
      <c r="C42" s="12">
        <f>IF(C18="","",C18/$B18)</f>
        <v/>
      </c>
      <c r="D42" s="12">
        <f>IF(D18="","",D18/$B18)</f>
        <v/>
      </c>
      <c r="E42" s="12">
        <f>IF(E18="","",E18/$B18)</f>
        <v/>
      </c>
      <c r="F42" s="12">
        <f>IF(F18="","",F18/$B18)</f>
        <v/>
      </c>
      <c r="G42" s="12">
        <f>IF(G18="","",G18/$B18)</f>
        <v/>
      </c>
      <c r="H42" s="12">
        <f>IF(H18="","",H18/$B18)</f>
        <v/>
      </c>
      <c r="I42" s="12">
        <f>IF(I18="","",I18/$B18)</f>
        <v/>
      </c>
      <c r="J42" s="12">
        <f>IF(J18="","",J18/$B18)</f>
        <v/>
      </c>
      <c r="K42" s="12">
        <f>IF(K18="","",K18/$B18)</f>
        <v/>
      </c>
      <c r="L42" s="12">
        <f>IF(L18="","",L18/$B18)</f>
        <v/>
      </c>
      <c r="M42" s="12">
        <f>IF(M18="","",M18/$B18)</f>
        <v/>
      </c>
      <c r="N42" s="12">
        <f>IF(N18="","",N18/$B18)</f>
        <v/>
      </c>
    </row>
    <row r="43">
      <c r="A43" s="20">
        <f>A19</f>
        <v/>
      </c>
      <c r="B43" s="12">
        <f>B19/B19</f>
        <v/>
      </c>
      <c r="C43" s="12">
        <f>IF(C19="","",C19/$B19)</f>
        <v/>
      </c>
      <c r="D43" s="12">
        <f>IF(D19="","",D19/$B19)</f>
        <v/>
      </c>
      <c r="E43" s="12">
        <f>IF(E19="","",E19/$B19)</f>
        <v/>
      </c>
      <c r="F43" s="12">
        <f>IF(F19="","",F19/$B19)</f>
        <v/>
      </c>
      <c r="G43" s="12">
        <f>IF(G19="","",G19/$B19)</f>
        <v/>
      </c>
      <c r="H43" s="12">
        <f>IF(H19="","",H19/$B19)</f>
        <v/>
      </c>
      <c r="I43" s="12">
        <f>IF(I19="","",I19/$B19)</f>
        <v/>
      </c>
      <c r="J43" s="12">
        <f>IF(J19="","",J19/$B19)</f>
        <v/>
      </c>
      <c r="K43" s="12">
        <f>IF(K19="","",K19/$B19)</f>
        <v/>
      </c>
      <c r="L43" s="12">
        <f>IF(L19="","",L19/$B19)</f>
        <v/>
      </c>
      <c r="M43" s="12">
        <f>IF(M19="","",M19/$B19)</f>
        <v/>
      </c>
      <c r="N43" s="12">
        <f>IF(N19="","",N19/$B19)</f>
        <v/>
      </c>
    </row>
    <row r="44">
      <c r="A44" s="20">
        <f>A20</f>
        <v/>
      </c>
      <c r="B44" s="12">
        <f>B20/B20</f>
        <v/>
      </c>
      <c r="C44" s="12">
        <f>IF(C20="","",C20/$B20)</f>
        <v/>
      </c>
      <c r="D44" s="12">
        <f>IF(D20="","",D20/$B20)</f>
        <v/>
      </c>
      <c r="E44" s="12">
        <f>IF(E20="","",E20/$B20)</f>
        <v/>
      </c>
      <c r="F44" s="12">
        <f>IF(F20="","",F20/$B20)</f>
        <v/>
      </c>
      <c r="G44" s="12">
        <f>IF(G20="","",G20/$B20)</f>
        <v/>
      </c>
      <c r="H44" s="12">
        <f>IF(H20="","",H20/$B20)</f>
        <v/>
      </c>
      <c r="I44" s="12">
        <f>IF(I20="","",I20/$B20)</f>
        <v/>
      </c>
      <c r="J44" s="12">
        <f>IF(J20="","",J20/$B20)</f>
        <v/>
      </c>
      <c r="K44" s="12">
        <f>IF(K20="","",K20/$B20)</f>
        <v/>
      </c>
      <c r="L44" s="12">
        <f>IF(L20="","",L20/$B20)</f>
        <v/>
      </c>
      <c r="M44" s="12">
        <f>IF(M20="","",M20/$B20)</f>
        <v/>
      </c>
      <c r="N44" s="12">
        <f>IF(N20="","",N20/$B20)</f>
        <v/>
      </c>
    </row>
    <row r="45">
      <c r="A45" s="20">
        <f>A21</f>
        <v/>
      </c>
      <c r="B45" s="12">
        <f>B21/B21</f>
        <v/>
      </c>
      <c r="C45" s="12">
        <f>IF(C21="","",C21/$B21)</f>
        <v/>
      </c>
      <c r="D45" s="12">
        <f>IF(D21="","",D21/$B21)</f>
        <v/>
      </c>
      <c r="E45" s="12">
        <f>IF(E21="","",E21/$B21)</f>
        <v/>
      </c>
      <c r="F45" s="12">
        <f>IF(F21="","",F21/$B21)</f>
        <v/>
      </c>
      <c r="G45" s="12">
        <f>IF(G21="","",G21/$B21)</f>
        <v/>
      </c>
      <c r="H45" s="12">
        <f>IF(H21="","",H21/$B21)</f>
        <v/>
      </c>
      <c r="I45" s="12">
        <f>IF(I21="","",I21/$B21)</f>
        <v/>
      </c>
      <c r="J45" s="12">
        <f>IF(J21="","",J21/$B21)</f>
        <v/>
      </c>
      <c r="K45" s="12">
        <f>IF(K21="","",K21/$B21)</f>
        <v/>
      </c>
      <c r="L45" s="12">
        <f>IF(L21="","",L21/$B21)</f>
        <v/>
      </c>
      <c r="M45" s="12">
        <f>IF(M21="","",M21/$B21)</f>
        <v/>
      </c>
      <c r="N45" s="12">
        <f>IF(N21="","",N21/$B21)</f>
        <v/>
      </c>
    </row>
    <row r="46">
      <c r="A46" s="20">
        <f>A22</f>
        <v/>
      </c>
      <c r="B46" s="12">
        <f>B22/B22</f>
        <v/>
      </c>
      <c r="C46" s="12">
        <f>IF(C22="","",C22/$B22)</f>
        <v/>
      </c>
      <c r="D46" s="12">
        <f>IF(D22="","",D22/$B22)</f>
        <v/>
      </c>
      <c r="E46" s="12">
        <f>IF(E22="","",E22/$B22)</f>
        <v/>
      </c>
      <c r="F46" s="12">
        <f>IF(F22="","",F22/$B22)</f>
        <v/>
      </c>
      <c r="G46" s="12">
        <f>IF(G22="","",G22/$B22)</f>
        <v/>
      </c>
      <c r="H46" s="12">
        <f>IF(H22="","",H22/$B22)</f>
        <v/>
      </c>
      <c r="I46" s="12">
        <f>IF(I22="","",I22/$B22)</f>
        <v/>
      </c>
      <c r="J46" s="12">
        <f>IF(J22="","",J22/$B22)</f>
        <v/>
      </c>
      <c r="K46" s="12">
        <f>IF(K22="","",K22/$B22)</f>
        <v/>
      </c>
      <c r="L46" s="12">
        <f>IF(L22="","",L22/$B22)</f>
        <v/>
      </c>
      <c r="M46" s="12">
        <f>IF(M22="","",M22/$B22)</f>
        <v/>
      </c>
      <c r="N46" s="12">
        <f>IF(N22="","",N22/$B22)</f>
        <v/>
      </c>
    </row>
    <row r="47">
      <c r="A47" s="20">
        <f>A23</f>
        <v/>
      </c>
      <c r="B47" s="12">
        <f>B23/B23</f>
        <v/>
      </c>
      <c r="C47" s="12">
        <f>IF(C23="","",C23/$B23)</f>
        <v/>
      </c>
      <c r="D47" s="12">
        <f>IF(D23="","",D23/$B23)</f>
        <v/>
      </c>
      <c r="E47" s="12">
        <f>IF(E23="","",E23/$B23)</f>
        <v/>
      </c>
      <c r="F47" s="12">
        <f>IF(F23="","",F23/$B23)</f>
        <v/>
      </c>
      <c r="G47" s="12">
        <f>IF(G23="","",G23/$B23)</f>
        <v/>
      </c>
      <c r="H47" s="12">
        <f>IF(H23="","",H23/$B23)</f>
        <v/>
      </c>
      <c r="I47" s="12">
        <f>IF(I23="","",I23/$B23)</f>
        <v/>
      </c>
      <c r="J47" s="12">
        <f>IF(J23="","",J23/$B23)</f>
        <v/>
      </c>
      <c r="K47" s="12">
        <f>IF(K23="","",K23/$B23)</f>
        <v/>
      </c>
      <c r="L47" s="12">
        <f>IF(L23="","",L23/$B23)</f>
        <v/>
      </c>
      <c r="M47" s="12">
        <f>IF(M23="","",M23/$B23)</f>
        <v/>
      </c>
      <c r="N47" s="12">
        <f>IF(N23="","",N23/$B23)</f>
        <v/>
      </c>
    </row>
    <row r="48">
      <c r="A48" s="20">
        <f>A24</f>
        <v/>
      </c>
      <c r="B48" s="12">
        <f>B24/B24</f>
        <v/>
      </c>
      <c r="C48" s="12">
        <f>IF(C24="","",C24/$B24)</f>
        <v/>
      </c>
      <c r="D48" s="12">
        <f>IF(D24="","",D24/$B24)</f>
        <v/>
      </c>
      <c r="E48" s="12">
        <f>IF(E24="","",E24/$B24)</f>
        <v/>
      </c>
      <c r="F48" s="12">
        <f>IF(F24="","",F24/$B24)</f>
        <v/>
      </c>
      <c r="G48" s="12">
        <f>IF(G24="","",G24/$B24)</f>
        <v/>
      </c>
      <c r="H48" s="12">
        <f>IF(H24="","",H24/$B24)</f>
        <v/>
      </c>
      <c r="I48" s="12">
        <f>IF(I24="","",I24/$B24)</f>
        <v/>
      </c>
      <c r="J48" s="12">
        <f>IF(J24="","",J24/$B24)</f>
        <v/>
      </c>
      <c r="K48" s="12">
        <f>IF(K24="","",K24/$B24)</f>
        <v/>
      </c>
      <c r="L48" s="12">
        <f>IF(L24="","",L24/$B24)</f>
        <v/>
      </c>
      <c r="M48" s="12">
        <f>IF(M24="","",M24/$B24)</f>
        <v/>
      </c>
      <c r="N48" s="12">
        <f>IF(N24="","",N24/$B24)</f>
        <v/>
      </c>
    </row>
    <row r="49">
      <c r="A49" s="20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>
      <c r="A50" s="21" t="inlineStr">
        <is>
          <t>All cohorts (weighted)</t>
        </is>
      </c>
      <c r="B50" s="25" t="n">
        <v>1</v>
      </c>
      <c r="C50" s="25">
        <f>SUM(C5:C24)/SUMIFS($B$5:$B$24,C5:C24,"&lt;&gt;")</f>
        <v/>
      </c>
      <c r="D50" s="25">
        <f>SUM(D5:D24)/SUMIFS($B$5:$B$24,D5:D24,"&lt;&gt;")</f>
        <v/>
      </c>
      <c r="E50" s="25">
        <f>SUM(E5:E24)/SUMIFS($B$5:$B$24,E5:E24,"&lt;&gt;")</f>
        <v/>
      </c>
      <c r="F50" s="25">
        <f>SUM(F5:F24)/SUMIFS($B$5:$B$24,F5:F24,"&lt;&gt;")</f>
        <v/>
      </c>
      <c r="G50" s="25">
        <f>SUM(G5:G24)/SUMIFS($B$5:$B$24,G5:G24,"&lt;&gt;")</f>
        <v/>
      </c>
      <c r="H50" s="25">
        <f>SUM(H5:H24)/SUMIFS($B$5:$B$24,H5:H24,"&lt;&gt;")</f>
        <v/>
      </c>
      <c r="I50" s="25">
        <f>SUM(I5:I24)/SUMIFS($B$5:$B$24,I5:I24,"&lt;&gt;")</f>
        <v/>
      </c>
      <c r="J50" s="25">
        <f>SUM(J5:J24)/SUMIFS($B$5:$B$24,J5:J24,"&lt;&gt;")</f>
        <v/>
      </c>
      <c r="K50" s="25">
        <f>SUM(K5:K24)/SUMIFS($B$5:$B$24,K5:K24,"&lt;&gt;")</f>
        <v/>
      </c>
      <c r="L50" s="25">
        <f>SUM(L5:L24)/SUMIFS($B$5:$B$24,L5:L24,"&lt;&gt;")</f>
        <v/>
      </c>
      <c r="M50" s="25">
        <f>SUM(M5:M24)/SUMIFS($B$5:$B$24,M5:M24,"&lt;&gt;")</f>
        <v/>
      </c>
      <c r="N50" s="25">
        <f>SUM(N5:N24)/SUMIFS($B$5:$B$24,N5:N24,"&lt;&gt;")</f>
        <v/>
      </c>
    </row>
  </sheetData>
  <conditionalFormatting sqref="C29:N48">
    <cfRule type="colorScale" priority="1">
      <colorScale>
        <cfvo type="min"/>
        <cfvo type="percentile" val="50"/>
        <cfvo type="max"/>
        <color rgb="00F7FBFF"/>
        <color rgb="009EC5EE"/>
        <color rgb="001F5FA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A78D6"/>
    <outlinePr summaryBelow="1" summaryRight="1"/>
    <pageSetUpPr/>
  </sheetPr>
  <dimension ref="A1:I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6" customWidth="1" min="4" max="4"/>
    <col width="12" customWidth="1" min="5" max="5"/>
    <col width="12" customWidth="1" min="6" max="6"/>
    <col width="10" customWidth="1" min="7" max="7"/>
    <col width="14" customWidth="1" min="8" max="8"/>
    <col width="16" customWidth="1" min="9" max="9"/>
  </cols>
  <sheetData>
    <row r="1">
      <c r="A1" s="1" t="inlineStr">
        <is>
          <t>RFM customer segments</t>
        </is>
      </c>
    </row>
    <row r="2">
      <c r="A2" s="2" t="inlineStr">
        <is>
          <t>Recency and Monetary scored by quintile; Frequency by rule (1 order = 1, 2 orders = 3, 3+ = 5). Shares, value per customer and the index are formulas.</t>
        </is>
      </c>
    </row>
    <row r="4" ht="32" customHeight="1">
      <c r="A4" s="3" t="inlineStr">
        <is>
          <t>Segment</t>
        </is>
      </c>
      <c r="B4" s="3" t="inlineStr">
        <is>
          <t>Customers</t>
        </is>
      </c>
      <c r="C4" s="3" t="inlineStr">
        <is>
          <t>% of customers</t>
        </is>
      </c>
      <c r="D4" s="3" t="inlineStr">
        <is>
          <t>Revenue</t>
        </is>
      </c>
      <c r="E4" s="3" t="inlineStr">
        <is>
          <t>% of revenue</t>
        </is>
      </c>
      <c r="F4" s="3" t="inlineStr">
        <is>
          <t>Avg recency (days)</t>
        </is>
      </c>
      <c r="G4" s="3" t="inlineStr">
        <is>
          <t>Avg orders</t>
        </is>
      </c>
      <c r="H4" s="3" t="inlineStr">
        <is>
          <t>Revenue per customer</t>
        </is>
      </c>
      <c r="I4" s="3" t="inlineStr">
        <is>
          <t>Revenue index (% rev / % cust)</t>
        </is>
      </c>
    </row>
    <row r="5">
      <c r="A5" t="inlineStr">
        <is>
          <t>1. Champions (repeat, recent)</t>
        </is>
      </c>
      <c r="B5" s="8" t="n">
        <v>1203</v>
      </c>
      <c r="C5" s="16">
        <f>B5/$B$14</f>
        <v/>
      </c>
      <c r="D5" s="5" t="n">
        <v>325603.02</v>
      </c>
      <c r="E5" s="16">
        <f>D5/$D$14</f>
        <v/>
      </c>
      <c r="F5" s="19" t="n">
        <v>89.2</v>
      </c>
      <c r="G5" s="10" t="n">
        <v>2.153</v>
      </c>
      <c r="H5" s="5">
        <f>D5/B5</f>
        <v/>
      </c>
      <c r="I5" s="27">
        <f>E5/C5</f>
        <v/>
      </c>
    </row>
    <row r="6">
      <c r="A6" t="inlineStr">
        <is>
          <t>2. Loyal, cooling</t>
        </is>
      </c>
      <c r="B6" s="8" t="n">
        <v>1163</v>
      </c>
      <c r="C6" s="16">
        <f>B6/$B$14</f>
        <v/>
      </c>
      <c r="D6" s="5" t="n">
        <v>297901.46</v>
      </c>
      <c r="E6" s="16">
        <f>D6/$D$14</f>
        <v/>
      </c>
      <c r="F6" s="19" t="n">
        <v>265.5</v>
      </c>
      <c r="G6" s="10" t="n">
        <v>2.087</v>
      </c>
      <c r="H6" s="5">
        <f>D6/B6</f>
        <v/>
      </c>
      <c r="I6" s="27">
        <f>E6/C6</f>
        <v/>
      </c>
    </row>
    <row r="7">
      <c r="A7" t="inlineStr">
        <is>
          <t>3. Repeat buyers, lapsed</t>
        </is>
      </c>
      <c r="B7" s="8" t="n">
        <v>435</v>
      </c>
      <c r="C7" s="16">
        <f>B7/$B$14</f>
        <v/>
      </c>
      <c r="D7" s="5" t="n">
        <v>104904.27</v>
      </c>
      <c r="E7" s="16">
        <f>D7/$D$14</f>
        <v/>
      </c>
      <c r="F7" s="19" t="n">
        <v>465.3</v>
      </c>
      <c r="G7" s="10" t="n">
        <v>2.078</v>
      </c>
      <c r="H7" s="5">
        <f>D7/B7</f>
        <v/>
      </c>
      <c r="I7" s="27">
        <f>E7/C7</f>
        <v/>
      </c>
    </row>
    <row r="8">
      <c r="A8" t="inlineStr">
        <is>
          <t>4. New high-value</t>
        </is>
      </c>
      <c r="B8" s="8" t="n">
        <v>14482</v>
      </c>
      <c r="C8" s="16">
        <f>B8/$B$14</f>
        <v/>
      </c>
      <c r="D8" s="5" t="n">
        <v>3869083.11</v>
      </c>
      <c r="E8" s="16">
        <f>D8/$D$14</f>
        <v/>
      </c>
      <c r="F8" s="19" t="n">
        <v>92.2</v>
      </c>
      <c r="G8" s="10" t="n">
        <v>1</v>
      </c>
      <c r="H8" s="5">
        <f>D8/B8</f>
        <v/>
      </c>
      <c r="I8" s="27">
        <f>E8/C8</f>
        <v/>
      </c>
    </row>
    <row r="9">
      <c r="A9" t="inlineStr">
        <is>
          <t>5. New low-value</t>
        </is>
      </c>
      <c r="B9" s="8" t="n">
        <v>21659</v>
      </c>
      <c r="C9" s="16">
        <f>B9/$B$14</f>
        <v/>
      </c>
      <c r="D9" s="5" t="n">
        <v>1202580.53</v>
      </c>
      <c r="E9" s="16">
        <f>D9/$D$14</f>
        <v/>
      </c>
      <c r="F9" s="19" t="n">
        <v>90.09999999999999</v>
      </c>
      <c r="G9" s="10" t="n">
        <v>1</v>
      </c>
      <c r="H9" s="5">
        <f>D9/B9</f>
        <v/>
      </c>
      <c r="I9" s="27">
        <f>E9/C9</f>
        <v/>
      </c>
    </row>
    <row r="10">
      <c r="A10" t="inlineStr">
        <is>
          <t>6. Cooling high-value</t>
        </is>
      </c>
      <c r="B10" s="8" t="n">
        <v>13887</v>
      </c>
      <c r="C10" s="16">
        <f>B10/$B$14</f>
        <v/>
      </c>
      <c r="D10" s="5" t="n">
        <v>3659567.08</v>
      </c>
      <c r="E10" s="16">
        <f>D10/$D$14</f>
        <v/>
      </c>
      <c r="F10" s="19" t="n">
        <v>268.4</v>
      </c>
      <c r="G10" s="10" t="n">
        <v>1</v>
      </c>
      <c r="H10" s="5">
        <f>D10/B10</f>
        <v/>
      </c>
      <c r="I10" s="27">
        <f>E10/C10</f>
        <v/>
      </c>
    </row>
    <row r="11">
      <c r="A11" t="inlineStr">
        <is>
          <t>7. Cooling low-value</t>
        </is>
      </c>
      <c r="B11" s="8" t="n">
        <v>22293</v>
      </c>
      <c r="C11" s="16">
        <f>B11/$B$14</f>
        <v/>
      </c>
      <c r="D11" s="5" t="n">
        <v>1244313.04</v>
      </c>
      <c r="E11" s="16">
        <f>D11/$D$14</f>
        <v/>
      </c>
      <c r="F11" s="19" t="n">
        <v>268.6</v>
      </c>
      <c r="G11" s="10" t="n">
        <v>1</v>
      </c>
      <c r="H11" s="5">
        <f>D11/B11</f>
        <v/>
      </c>
      <c r="I11" s="27">
        <f>E11/C11</f>
        <v/>
      </c>
    </row>
    <row r="12">
      <c r="A12" t="inlineStr">
        <is>
          <t>8. Lost high-value</t>
        </is>
      </c>
      <c r="B12" s="8" t="n">
        <v>6837</v>
      </c>
      <c r="C12" s="16">
        <f>B12/$B$14</f>
        <v/>
      </c>
      <c r="D12" s="5" t="n">
        <v>1886830.86</v>
      </c>
      <c r="E12" s="16">
        <f>D12/$D$14</f>
        <v/>
      </c>
      <c r="F12" s="19" t="n">
        <v>475.5</v>
      </c>
      <c r="G12" s="10" t="n">
        <v>1</v>
      </c>
      <c r="H12" s="5">
        <f>D12/B12</f>
        <v/>
      </c>
      <c r="I12" s="27">
        <f>E12/C12</f>
        <v/>
      </c>
    </row>
    <row r="13">
      <c r="A13" t="inlineStr">
        <is>
          <t>9. Lost low-value</t>
        </is>
      </c>
      <c r="B13" s="8" t="n">
        <v>11399</v>
      </c>
      <c r="C13" s="16">
        <f>B13/$B$14</f>
        <v/>
      </c>
      <c r="D13" s="5" t="n">
        <v>630714.74</v>
      </c>
      <c r="E13" s="16">
        <f>D13/$D$14</f>
        <v/>
      </c>
      <c r="F13" s="19" t="n">
        <v>473.1</v>
      </c>
      <c r="G13" s="10" t="n">
        <v>1</v>
      </c>
      <c r="H13" s="5">
        <f>D13/B13</f>
        <v/>
      </c>
      <c r="I13" s="27">
        <f>E13/C13</f>
        <v/>
      </c>
    </row>
    <row r="14">
      <c r="A14" s="21" t="inlineStr">
        <is>
          <t>Total</t>
        </is>
      </c>
      <c r="B14" s="22">
        <f>SUM(B5:B13)</f>
        <v/>
      </c>
      <c r="C14" s="24">
        <f>SUM(C5:C13)</f>
        <v/>
      </c>
      <c r="D14" s="23">
        <f>SUM(D5:D13)</f>
        <v/>
      </c>
      <c r="E14" s="24">
        <f>SUM(E5:E13)</f>
        <v/>
      </c>
      <c r="F14" s="28" t="n"/>
      <c r="G14" s="26" t="n"/>
      <c r="H14" s="23">
        <f>D14/B14</f>
        <v/>
      </c>
      <c r="I14" s="29" t="n"/>
    </row>
    <row r="17">
      <c r="A17" s="14" t="inlineStr">
        <is>
          <t>Customers by number of delivered orders</t>
        </is>
      </c>
    </row>
    <row r="18" ht="32" customHeight="1">
      <c r="A18" s="3" t="inlineStr">
        <is>
          <t>Orders placed</t>
        </is>
      </c>
      <c r="B18" s="3" t="inlineStr">
        <is>
          <t>Min orders</t>
        </is>
      </c>
      <c r="C18" s="3" t="inlineStr">
        <is>
          <t>% of customers</t>
        </is>
      </c>
      <c r="D18" s="3" t="inlineStr">
        <is>
          <t>Customers</t>
        </is>
      </c>
      <c r="E18" s="3" t="inlineStr">
        <is>
          <t>% of revenue</t>
        </is>
      </c>
      <c r="F18" s="3" t="inlineStr">
        <is>
          <t>Orders</t>
        </is>
      </c>
      <c r="G18" s="3" t="inlineStr">
        <is>
          <t>Revenue</t>
        </is>
      </c>
      <c r="H18" s="3" t="inlineStr">
        <is>
          <t>Revenue per customer</t>
        </is>
      </c>
      <c r="I18" s="3" t="inlineStr">
        <is>
          <t>Median days to 2nd order</t>
        </is>
      </c>
    </row>
    <row r="19">
      <c r="A19" t="inlineStr">
        <is>
          <t>1 order</t>
        </is>
      </c>
      <c r="B19" t="n">
        <v>1</v>
      </c>
      <c r="C19" s="12">
        <f>D19/$D$23</f>
        <v/>
      </c>
      <c r="D19" s="8" t="n">
        <v>90557</v>
      </c>
      <c r="E19" s="12">
        <f>G19/$G$23</f>
        <v/>
      </c>
      <c r="F19" s="8" t="n">
        <v>90557</v>
      </c>
      <c r="G19" s="5" t="n">
        <v>12493089.36</v>
      </c>
      <c r="H19" s="5">
        <f>G19/D19</f>
        <v/>
      </c>
      <c r="I19" s="30" t="n"/>
    </row>
    <row r="20">
      <c r="A20" t="inlineStr">
        <is>
          <t>2 orders</t>
        </is>
      </c>
      <c r="B20" t="n">
        <v>2</v>
      </c>
      <c r="C20" s="12">
        <f>D20/$D$23</f>
        <v/>
      </c>
      <c r="D20" s="8" t="n">
        <v>2573</v>
      </c>
      <c r="E20" s="12">
        <f>G20/$G$23</f>
        <v/>
      </c>
      <c r="F20" s="8" t="n">
        <v>5146</v>
      </c>
      <c r="G20" s="5" t="n">
        <v>631274.9</v>
      </c>
      <c r="H20" s="5">
        <f>G20/D20</f>
        <v/>
      </c>
      <c r="I20" s="30" t="n">
        <v>29</v>
      </c>
    </row>
    <row r="21">
      <c r="A21" t="inlineStr">
        <is>
          <t>3 orders</t>
        </is>
      </c>
      <c r="B21" t="n">
        <v>3</v>
      </c>
      <c r="C21" s="12">
        <f>D21/$D$23</f>
        <v/>
      </c>
      <c r="D21" s="8" t="n">
        <v>181</v>
      </c>
      <c r="E21" s="12">
        <f>G21/$G$23</f>
        <v/>
      </c>
      <c r="F21" s="8" t="n">
        <v>543</v>
      </c>
      <c r="G21" s="5" t="n">
        <v>65974.42</v>
      </c>
      <c r="H21" s="5">
        <f>G21/D21</f>
        <v/>
      </c>
      <c r="I21" s="30" t="n">
        <v>36</v>
      </c>
    </row>
    <row r="22">
      <c r="A22" t="inlineStr">
        <is>
          <t>4+ orders</t>
        </is>
      </c>
      <c r="B22" t="n">
        <v>4</v>
      </c>
      <c r="C22" s="12">
        <f>D22/$D$23</f>
        <v/>
      </c>
      <c r="D22" s="8" t="n">
        <v>47</v>
      </c>
      <c r="E22" s="12">
        <f>G22/$G$23</f>
        <v/>
      </c>
      <c r="F22" s="8" t="n">
        <v>232</v>
      </c>
      <c r="G22" s="5" t="n">
        <v>31159.43</v>
      </c>
      <c r="H22" s="5">
        <f>G22/D22</f>
        <v/>
      </c>
      <c r="I22" s="30" t="n">
        <v>16</v>
      </c>
    </row>
    <row r="23">
      <c r="A23" s="21" t="inlineStr">
        <is>
          <t>Total</t>
        </is>
      </c>
      <c r="B23" s="21" t="n"/>
      <c r="C23" s="25" t="n"/>
      <c r="D23" s="22">
        <f>SUM(D19:D22)</f>
        <v/>
      </c>
      <c r="E23" s="25" t="n"/>
      <c r="F23" s="22">
        <f>SUM(F19:F22)</f>
        <v/>
      </c>
      <c r="G23" s="23">
        <f>SUM(G19:G22)</f>
        <v/>
      </c>
      <c r="H23" s="23">
        <f>G23/D23</f>
        <v/>
      </c>
      <c r="I23" s="31" t="n"/>
    </row>
  </sheetData>
  <conditionalFormatting sqref="I5:I13">
    <cfRule type="dataBar" priority="1">
      <dataBar>
        <cfvo type="num" val="0"/>
        <cfvo type="max"/>
        <color rgb="002A78D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2A78D6"/>
    <outlinePr summaryBelow="1" summaryRight="1"/>
    <pageSetUpPr/>
  </sheetPr>
  <dimension ref="A1:H7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10" customWidth="1" min="3" max="3"/>
    <col width="11" customWidth="1" min="4" max="4"/>
    <col width="16" customWidth="1" min="5" max="5"/>
    <col width="12" customWidth="1" min="6" max="6"/>
    <col width="13" customWidth="1" min="7" max="7"/>
    <col width="9" customWidth="1" min="8" max="8"/>
  </cols>
  <sheetData>
    <row r="1">
      <c r="A1" s="1" t="inlineStr">
        <is>
          <t>Category Pareto (ABC)</t>
        </is>
      </c>
    </row>
    <row r="2">
      <c r="A2" s="2" t="inlineStr">
        <is>
          <t>Categories ranked by delivered revenue. Share, cumulative share and ABC class are formulas: A = first 80% of revenue, B = next 15%, C = the rest.</t>
        </is>
      </c>
    </row>
    <row r="4" ht="32" customHeight="1">
      <c r="A4" s="3" t="inlineStr">
        <is>
          <t>Rank</t>
        </is>
      </c>
      <c r="B4" s="3" t="inlineStr">
        <is>
          <t>Category</t>
        </is>
      </c>
      <c r="C4" s="3" t="inlineStr">
        <is>
          <t>Orders</t>
        </is>
      </c>
      <c r="D4" s="3" t="inlineStr">
        <is>
          <t>Items sold</t>
        </is>
      </c>
      <c r="E4" s="3" t="inlineStr">
        <is>
          <t>Revenue</t>
        </is>
      </c>
      <c r="F4" s="3" t="inlineStr">
        <is>
          <t>Revenue share</t>
        </is>
      </c>
      <c r="G4" s="3" t="inlineStr">
        <is>
          <t>Cumulative share</t>
        </is>
      </c>
      <c r="H4" s="3" t="inlineStr">
        <is>
          <t>ABC class</t>
        </is>
      </c>
    </row>
    <row r="5">
      <c r="A5" t="n">
        <v>1</v>
      </c>
      <c r="B5" t="inlineStr">
        <is>
          <t>health_beauty</t>
        </is>
      </c>
      <c r="C5" s="8" t="n">
        <v>8647</v>
      </c>
      <c r="D5" s="8" t="n">
        <v>9465</v>
      </c>
      <c r="E5" s="5" t="n">
        <v>1233131.72</v>
      </c>
      <c r="F5" s="12">
        <f>E5/SUM($E$5:$E$78)</f>
        <v/>
      </c>
      <c r="G5" s="12">
        <f>SUM($F$5:F5)</f>
        <v/>
      </c>
      <c r="H5" s="6">
        <f>IF(G5-F5&lt;0.8,"A",IF(G5-F5&lt;0.95,"B","C"))</f>
        <v/>
      </c>
    </row>
    <row r="6">
      <c r="A6" t="n">
        <v>2</v>
      </c>
      <c r="B6" t="inlineStr">
        <is>
          <t>watches_gifts</t>
        </is>
      </c>
      <c r="C6" s="8" t="n">
        <v>5495</v>
      </c>
      <c r="D6" s="8" t="n">
        <v>5859</v>
      </c>
      <c r="E6" s="5" t="n">
        <v>1166176.98</v>
      </c>
      <c r="F6" s="12">
        <f>E6/SUM($E$5:$E$78)</f>
        <v/>
      </c>
      <c r="G6" s="12">
        <f>SUM($F$5:F6)</f>
        <v/>
      </c>
      <c r="H6" s="6">
        <f>IF(G6-F6&lt;0.8,"A",IF(G6-F6&lt;0.95,"B","C"))</f>
        <v/>
      </c>
    </row>
    <row r="7">
      <c r="A7" t="n">
        <v>3</v>
      </c>
      <c r="B7" t="inlineStr">
        <is>
          <t>bed_bath_table</t>
        </is>
      </c>
      <c r="C7" s="8" t="n">
        <v>9272</v>
      </c>
      <c r="D7" s="8" t="n">
        <v>10953</v>
      </c>
      <c r="E7" s="5" t="n">
        <v>1023434.76</v>
      </c>
      <c r="F7" s="12">
        <f>E7/SUM($E$5:$E$78)</f>
        <v/>
      </c>
      <c r="G7" s="12">
        <f>SUM($F$5:F7)</f>
        <v/>
      </c>
      <c r="H7" s="6">
        <f>IF(G7-F7&lt;0.8,"A",IF(G7-F7&lt;0.95,"B","C"))</f>
        <v/>
      </c>
    </row>
    <row r="8">
      <c r="A8" t="n">
        <v>4</v>
      </c>
      <c r="B8" t="inlineStr">
        <is>
          <t>sports_leisure</t>
        </is>
      </c>
      <c r="C8" s="8" t="n">
        <v>7530</v>
      </c>
      <c r="D8" s="8" t="n">
        <v>8431</v>
      </c>
      <c r="E8" s="5" t="n">
        <v>954852.55</v>
      </c>
      <c r="F8" s="12">
        <f>E8/SUM($E$5:$E$78)</f>
        <v/>
      </c>
      <c r="G8" s="12">
        <f>SUM($F$5:F8)</f>
        <v/>
      </c>
      <c r="H8" s="6">
        <f>IF(G8-F8&lt;0.8,"A",IF(G8-F8&lt;0.95,"B","C"))</f>
        <v/>
      </c>
    </row>
    <row r="9">
      <c r="A9" t="n">
        <v>5</v>
      </c>
      <c r="B9" t="inlineStr">
        <is>
          <t>computers_accessories</t>
        </is>
      </c>
      <c r="C9" s="8" t="n">
        <v>6530</v>
      </c>
      <c r="D9" s="8" t="n">
        <v>7644</v>
      </c>
      <c r="E9" s="5" t="n">
        <v>888724.61</v>
      </c>
      <c r="F9" s="12">
        <f>E9/SUM($E$5:$E$78)</f>
        <v/>
      </c>
      <c r="G9" s="12">
        <f>SUM($F$5:F9)</f>
        <v/>
      </c>
      <c r="H9" s="6">
        <f>IF(G9-F9&lt;0.8,"A",IF(G9-F9&lt;0.95,"B","C"))</f>
        <v/>
      </c>
    </row>
    <row r="10">
      <c r="A10" t="n">
        <v>6</v>
      </c>
      <c r="B10" t="inlineStr">
        <is>
          <t>furniture_decor</t>
        </is>
      </c>
      <c r="C10" s="8" t="n">
        <v>6307</v>
      </c>
      <c r="D10" s="8" t="n">
        <v>8160</v>
      </c>
      <c r="E10" s="5" t="n">
        <v>711927.6899999999</v>
      </c>
      <c r="F10" s="12">
        <f>E10/SUM($E$5:$E$78)</f>
        <v/>
      </c>
      <c r="G10" s="12">
        <f>SUM($F$5:F10)</f>
        <v/>
      </c>
      <c r="H10" s="6">
        <f>IF(G10-F10&lt;0.8,"A",IF(G10-F10&lt;0.95,"B","C"))</f>
        <v/>
      </c>
    </row>
    <row r="11">
      <c r="A11" t="n">
        <v>7</v>
      </c>
      <c r="B11" t="inlineStr">
        <is>
          <t>housewares</t>
        </is>
      </c>
      <c r="C11" s="8" t="n">
        <v>5743</v>
      </c>
      <c r="D11" s="8" t="n">
        <v>6795</v>
      </c>
      <c r="E11" s="5" t="n">
        <v>615628.6899999999</v>
      </c>
      <c r="F11" s="12">
        <f>E11/SUM($E$5:$E$78)</f>
        <v/>
      </c>
      <c r="G11" s="12">
        <f>SUM($F$5:F11)</f>
        <v/>
      </c>
      <c r="H11" s="6">
        <f>IF(G11-F11&lt;0.8,"A",IF(G11-F11&lt;0.95,"B","C"))</f>
        <v/>
      </c>
    </row>
    <row r="12">
      <c r="A12" t="n">
        <v>8</v>
      </c>
      <c r="B12" t="inlineStr">
        <is>
          <t>cool_stuff</t>
        </is>
      </c>
      <c r="C12" s="8" t="n">
        <v>3559</v>
      </c>
      <c r="D12" s="8" t="n">
        <v>3718</v>
      </c>
      <c r="E12" s="5" t="n">
        <v>610204.1</v>
      </c>
      <c r="F12" s="12">
        <f>E12/SUM($E$5:$E$78)</f>
        <v/>
      </c>
      <c r="G12" s="12">
        <f>SUM($F$5:F12)</f>
        <v/>
      </c>
      <c r="H12" s="6">
        <f>IF(G12-F12&lt;0.8,"A",IF(G12-F12&lt;0.95,"B","C"))</f>
        <v/>
      </c>
    </row>
    <row r="13">
      <c r="A13" t="n">
        <v>9</v>
      </c>
      <c r="B13" t="inlineStr">
        <is>
          <t>auto</t>
        </is>
      </c>
      <c r="C13" s="8" t="n">
        <v>3810</v>
      </c>
      <c r="D13" s="8" t="n">
        <v>4140</v>
      </c>
      <c r="E13" s="5" t="n">
        <v>578966.65</v>
      </c>
      <c r="F13" s="12">
        <f>E13/SUM($E$5:$E$78)</f>
        <v/>
      </c>
      <c r="G13" s="12">
        <f>SUM($F$5:F13)</f>
        <v/>
      </c>
      <c r="H13" s="6">
        <f>IF(G13-F13&lt;0.8,"A",IF(G13-F13&lt;0.95,"B","C"))</f>
        <v/>
      </c>
    </row>
    <row r="14">
      <c r="A14" t="n">
        <v>10</v>
      </c>
      <c r="B14" t="inlineStr">
        <is>
          <t>toys</t>
        </is>
      </c>
      <c r="C14" s="8" t="n">
        <v>3804</v>
      </c>
      <c r="D14" s="8" t="n">
        <v>4030</v>
      </c>
      <c r="E14" s="5" t="n">
        <v>471286.48</v>
      </c>
      <c r="F14" s="12">
        <f>E14/SUM($E$5:$E$78)</f>
        <v/>
      </c>
      <c r="G14" s="12">
        <f>SUM($F$5:F14)</f>
        <v/>
      </c>
      <c r="H14" s="6">
        <f>IF(G14-F14&lt;0.8,"A",IF(G14-F14&lt;0.95,"B","C"))</f>
        <v/>
      </c>
    </row>
    <row r="15">
      <c r="A15" t="n">
        <v>11</v>
      </c>
      <c r="B15" t="inlineStr">
        <is>
          <t>garden_tools</t>
        </is>
      </c>
      <c r="C15" s="8" t="n">
        <v>3448</v>
      </c>
      <c r="D15" s="8" t="n">
        <v>4268</v>
      </c>
      <c r="E15" s="5" t="n">
        <v>470495.28</v>
      </c>
      <c r="F15" s="12">
        <f>E15/SUM($E$5:$E$78)</f>
        <v/>
      </c>
      <c r="G15" s="12">
        <f>SUM($F$5:F15)</f>
        <v/>
      </c>
      <c r="H15" s="6">
        <f>IF(G15-F15&lt;0.8,"A",IF(G15-F15&lt;0.95,"B","C"))</f>
        <v/>
      </c>
    </row>
    <row r="16">
      <c r="A16" t="n">
        <v>12</v>
      </c>
      <c r="B16" t="inlineStr">
        <is>
          <t>baby</t>
        </is>
      </c>
      <c r="C16" s="8" t="n">
        <v>2809</v>
      </c>
      <c r="D16" s="8" t="n">
        <v>2982</v>
      </c>
      <c r="E16" s="5" t="n">
        <v>400421.84</v>
      </c>
      <c r="F16" s="12">
        <f>E16/SUM($E$5:$E$78)</f>
        <v/>
      </c>
      <c r="G16" s="12">
        <f>SUM($F$5:F16)</f>
        <v/>
      </c>
      <c r="H16" s="6">
        <f>IF(G16-F16&lt;0.8,"A",IF(G16-F16&lt;0.95,"B","C"))</f>
        <v/>
      </c>
    </row>
    <row r="17">
      <c r="A17" t="n">
        <v>13</v>
      </c>
      <c r="B17" t="inlineStr">
        <is>
          <t>perfumery</t>
        </is>
      </c>
      <c r="C17" s="8" t="n">
        <v>3086</v>
      </c>
      <c r="D17" s="8" t="n">
        <v>3340</v>
      </c>
      <c r="E17" s="5" t="n">
        <v>390144.65</v>
      </c>
      <c r="F17" s="12">
        <f>E17/SUM($E$5:$E$78)</f>
        <v/>
      </c>
      <c r="G17" s="12">
        <f>SUM($F$5:F17)</f>
        <v/>
      </c>
      <c r="H17" s="6">
        <f>IF(G17-F17&lt;0.8,"A",IF(G17-F17&lt;0.95,"B","C"))</f>
        <v/>
      </c>
    </row>
    <row r="18">
      <c r="A18" t="n">
        <v>14</v>
      </c>
      <c r="B18" t="inlineStr">
        <is>
          <t>telephony</t>
        </is>
      </c>
      <c r="C18" s="8" t="n">
        <v>4093</v>
      </c>
      <c r="D18" s="8" t="n">
        <v>4430</v>
      </c>
      <c r="E18" s="5" t="n">
        <v>309860.23</v>
      </c>
      <c r="F18" s="12">
        <f>E18/SUM($E$5:$E$78)</f>
        <v/>
      </c>
      <c r="G18" s="12">
        <f>SUM($F$5:F18)</f>
        <v/>
      </c>
      <c r="H18" s="6">
        <f>IF(G18-F18&lt;0.8,"A",IF(G18-F18&lt;0.95,"B","C"))</f>
        <v/>
      </c>
    </row>
    <row r="19">
      <c r="A19" t="n">
        <v>15</v>
      </c>
      <c r="B19" t="inlineStr">
        <is>
          <t>office_furniture</t>
        </is>
      </c>
      <c r="C19" s="8" t="n">
        <v>1254</v>
      </c>
      <c r="D19" s="8" t="n">
        <v>1668</v>
      </c>
      <c r="E19" s="5" t="n">
        <v>268154.31</v>
      </c>
      <c r="F19" s="12">
        <f>E19/SUM($E$5:$E$78)</f>
        <v/>
      </c>
      <c r="G19" s="12">
        <f>SUM($F$5:F19)</f>
        <v/>
      </c>
      <c r="H19" s="6">
        <f>IF(G19-F19&lt;0.8,"A",IF(G19-F19&lt;0.95,"B","C"))</f>
        <v/>
      </c>
    </row>
    <row r="20">
      <c r="A20" t="n">
        <v>16</v>
      </c>
      <c r="B20" t="inlineStr">
        <is>
          <t>stationery</t>
        </is>
      </c>
      <c r="C20" s="8" t="n">
        <v>2264</v>
      </c>
      <c r="D20" s="8" t="n">
        <v>2466</v>
      </c>
      <c r="E20" s="5" t="n">
        <v>223788.69</v>
      </c>
      <c r="F20" s="12">
        <f>E20/SUM($E$5:$E$78)</f>
        <v/>
      </c>
      <c r="G20" s="12">
        <f>SUM($F$5:F20)</f>
        <v/>
      </c>
      <c r="H20" s="6">
        <f>IF(G20-F20&lt;0.8,"A",IF(G20-F20&lt;0.95,"B","C"))</f>
        <v/>
      </c>
    </row>
    <row r="21">
      <c r="A21" t="n">
        <v>17</v>
      </c>
      <c r="B21" t="inlineStr">
        <is>
          <t>computers</t>
        </is>
      </c>
      <c r="C21" s="8" t="n">
        <v>177</v>
      </c>
      <c r="D21" s="8" t="n">
        <v>199</v>
      </c>
      <c r="E21" s="5" t="n">
        <v>218684.14</v>
      </c>
      <c r="F21" s="12">
        <f>E21/SUM($E$5:$E$78)</f>
        <v/>
      </c>
      <c r="G21" s="12">
        <f>SUM($F$5:F21)</f>
        <v/>
      </c>
      <c r="H21" s="6">
        <f>IF(G21-F21&lt;0.8,"A",IF(G21-F21&lt;0.95,"B","C"))</f>
        <v/>
      </c>
    </row>
    <row r="22">
      <c r="A22" t="n">
        <v>18</v>
      </c>
      <c r="B22" t="inlineStr">
        <is>
          <t>pet_shop</t>
        </is>
      </c>
      <c r="C22" s="8" t="n">
        <v>1688</v>
      </c>
      <c r="D22" s="8" t="n">
        <v>1924</v>
      </c>
      <c r="E22" s="5" t="n">
        <v>211695.64</v>
      </c>
      <c r="F22" s="12">
        <f>E22/SUM($E$5:$E$78)</f>
        <v/>
      </c>
      <c r="G22" s="12">
        <f>SUM($F$5:F22)</f>
        <v/>
      </c>
      <c r="H22" s="6">
        <f>IF(G22-F22&lt;0.8,"A",IF(G22-F22&lt;0.95,"B","C"))</f>
        <v/>
      </c>
    </row>
    <row r="23">
      <c r="A23" t="n">
        <v>19</v>
      </c>
      <c r="B23" t="inlineStr">
        <is>
          <t>musical_instruments</t>
        </is>
      </c>
      <c r="C23" s="8" t="n">
        <v>611</v>
      </c>
      <c r="D23" s="8" t="n">
        <v>651</v>
      </c>
      <c r="E23" s="5" t="n">
        <v>184315.74</v>
      </c>
      <c r="F23" s="12">
        <f>E23/SUM($E$5:$E$78)</f>
        <v/>
      </c>
      <c r="G23" s="12">
        <f>SUM($F$5:F23)</f>
        <v/>
      </c>
      <c r="H23" s="6">
        <f>IF(G23-F23&lt;0.8,"A",IF(G23-F23&lt;0.95,"B","C"))</f>
        <v/>
      </c>
    </row>
    <row r="24">
      <c r="A24" t="n">
        <v>20</v>
      </c>
      <c r="B24" t="inlineStr">
        <is>
          <t>small_appliances</t>
        </is>
      </c>
      <c r="C24" s="8" t="n">
        <v>609</v>
      </c>
      <c r="D24" s="8" t="n">
        <v>658</v>
      </c>
      <c r="E24" s="5" t="n">
        <v>182754.12</v>
      </c>
      <c r="F24" s="12">
        <f>E24/SUM($E$5:$E$78)</f>
        <v/>
      </c>
      <c r="G24" s="12">
        <f>SUM($F$5:F24)</f>
        <v/>
      </c>
      <c r="H24" s="6">
        <f>IF(G24-F24&lt;0.8,"A",IF(G24-F24&lt;0.95,"B","C"))</f>
        <v/>
      </c>
    </row>
    <row r="25">
      <c r="A25" t="n">
        <v>21</v>
      </c>
      <c r="B25" t="inlineStr">
        <is>
          <t>unknown</t>
        </is>
      </c>
      <c r="C25" s="8" t="n">
        <v>1392</v>
      </c>
      <c r="D25" s="8" t="n">
        <v>1537</v>
      </c>
      <c r="E25" s="5" t="n">
        <v>170726.63</v>
      </c>
      <c r="F25" s="12">
        <f>E25/SUM($E$5:$E$78)</f>
        <v/>
      </c>
      <c r="G25" s="12">
        <f>SUM($F$5:F25)</f>
        <v/>
      </c>
      <c r="H25" s="6">
        <f>IF(G25-F25&lt;0.8,"A",IF(G25-F25&lt;0.95,"B","C"))</f>
        <v/>
      </c>
    </row>
    <row r="26">
      <c r="A26" t="n">
        <v>22</v>
      </c>
      <c r="B26" t="inlineStr">
        <is>
          <t>electronics</t>
        </is>
      </c>
      <c r="C26" s="8" t="n">
        <v>2517</v>
      </c>
      <c r="D26" s="8" t="n">
        <v>2729</v>
      </c>
      <c r="E26" s="5" t="n">
        <v>155043.93</v>
      </c>
      <c r="F26" s="12">
        <f>E26/SUM($E$5:$E$78)</f>
        <v/>
      </c>
      <c r="G26" s="12">
        <f>SUM($F$5:F26)</f>
        <v/>
      </c>
      <c r="H26" s="6">
        <f>IF(G26-F26&lt;0.8,"A",IF(G26-F26&lt;0.95,"B","C"))</f>
        <v/>
      </c>
    </row>
    <row r="27">
      <c r="A27" t="n">
        <v>23</v>
      </c>
      <c r="B27" t="inlineStr">
        <is>
          <t>fashion_bags_accessories</t>
        </is>
      </c>
      <c r="C27" s="8" t="n">
        <v>1820</v>
      </c>
      <c r="D27" s="8" t="n">
        <v>1985</v>
      </c>
      <c r="E27" s="5" t="n">
        <v>149329.39</v>
      </c>
      <c r="F27" s="12">
        <f>E27/SUM($E$5:$E$78)</f>
        <v/>
      </c>
      <c r="G27" s="12">
        <f>SUM($F$5:F27)</f>
        <v/>
      </c>
      <c r="H27" s="6">
        <f>IF(G27-F27&lt;0.8,"A",IF(G27-F27&lt;0.95,"B","C"))</f>
        <v/>
      </c>
    </row>
    <row r="28">
      <c r="A28" t="n">
        <v>24</v>
      </c>
      <c r="B28" t="inlineStr">
        <is>
          <t>consoles_games</t>
        </is>
      </c>
      <c r="C28" s="8" t="n">
        <v>1018</v>
      </c>
      <c r="D28" s="8" t="n">
        <v>1089</v>
      </c>
      <c r="E28" s="5" t="n">
        <v>148003.37</v>
      </c>
      <c r="F28" s="12">
        <f>E28/SUM($E$5:$E$78)</f>
        <v/>
      </c>
      <c r="G28" s="12">
        <f>SUM($F$5:F28)</f>
        <v/>
      </c>
      <c r="H28" s="6">
        <f>IF(G28-F28&lt;0.8,"A",IF(G28-F28&lt;0.95,"B","C"))</f>
        <v/>
      </c>
    </row>
    <row r="29">
      <c r="A29" t="n">
        <v>25</v>
      </c>
      <c r="B29" t="inlineStr">
        <is>
          <t>construction_tools_construction</t>
        </is>
      </c>
      <c r="C29" s="8" t="n">
        <v>736</v>
      </c>
      <c r="D29" s="8" t="n">
        <v>916</v>
      </c>
      <c r="E29" s="5" t="n">
        <v>142108.49</v>
      </c>
      <c r="F29" s="12">
        <f>E29/SUM($E$5:$E$78)</f>
        <v/>
      </c>
      <c r="G29" s="12">
        <f>SUM($F$5:F29)</f>
        <v/>
      </c>
      <c r="H29" s="6">
        <f>IF(G29-F29&lt;0.8,"A",IF(G29-F29&lt;0.95,"B","C"))</f>
        <v/>
      </c>
    </row>
    <row r="30">
      <c r="A30" t="n">
        <v>26</v>
      </c>
      <c r="B30" t="inlineStr">
        <is>
          <t>luggage_accessories</t>
        </is>
      </c>
      <c r="C30" s="8" t="n">
        <v>1019</v>
      </c>
      <c r="D30" s="8" t="n">
        <v>1077</v>
      </c>
      <c r="E30" s="5" t="n">
        <v>138701.63</v>
      </c>
      <c r="F30" s="12">
        <f>E30/SUM($E$5:$E$78)</f>
        <v/>
      </c>
      <c r="G30" s="12">
        <f>SUM($F$5:F30)</f>
        <v/>
      </c>
      <c r="H30" s="6">
        <f>IF(G30-F30&lt;0.8,"A",IF(G30-F30&lt;0.95,"B","C"))</f>
        <v/>
      </c>
    </row>
    <row r="31">
      <c r="A31" t="n">
        <v>27</v>
      </c>
      <c r="B31" t="inlineStr">
        <is>
          <t>home_appliances_2</t>
        </is>
      </c>
      <c r="C31" s="8" t="n">
        <v>227</v>
      </c>
      <c r="D31" s="8" t="n">
        <v>231</v>
      </c>
      <c r="E31" s="5" t="n">
        <v>107953.95</v>
      </c>
      <c r="F31" s="12">
        <f>E31/SUM($E$5:$E$78)</f>
        <v/>
      </c>
      <c r="G31" s="12">
        <f>SUM($F$5:F31)</f>
        <v/>
      </c>
      <c r="H31" s="6">
        <f>IF(G31-F31&lt;0.8,"A",IF(G31-F31&lt;0.95,"B","C"))</f>
        <v/>
      </c>
    </row>
    <row r="32">
      <c r="A32" t="n">
        <v>28</v>
      </c>
      <c r="B32" t="inlineStr">
        <is>
          <t>home_construction</t>
        </is>
      </c>
      <c r="C32" s="8" t="n">
        <v>483</v>
      </c>
      <c r="D32" s="8" t="n">
        <v>596</v>
      </c>
      <c r="E32" s="5" t="n">
        <v>81407.57000000001</v>
      </c>
      <c r="F32" s="12">
        <f>E32/SUM($E$5:$E$78)</f>
        <v/>
      </c>
      <c r="G32" s="12">
        <f>SUM($F$5:F32)</f>
        <v/>
      </c>
      <c r="H32" s="6">
        <f>IF(G32-F32&lt;0.8,"A",IF(G32-F32&lt;0.95,"B","C"))</f>
        <v/>
      </c>
    </row>
    <row r="33">
      <c r="A33" t="n">
        <v>29</v>
      </c>
      <c r="B33" t="inlineStr">
        <is>
          <t>home_appliances</t>
        </is>
      </c>
      <c r="C33" s="8" t="n">
        <v>747</v>
      </c>
      <c r="D33" s="8" t="n">
        <v>754</v>
      </c>
      <c r="E33" s="5" t="n">
        <v>78832.48</v>
      </c>
      <c r="F33" s="12">
        <f>E33/SUM($E$5:$E$78)</f>
        <v/>
      </c>
      <c r="G33" s="12">
        <f>SUM($F$5:F33)</f>
        <v/>
      </c>
      <c r="H33" s="6">
        <f>IF(G33-F33&lt;0.8,"A",IF(G33-F33&lt;0.95,"B","C"))</f>
        <v/>
      </c>
    </row>
    <row r="34">
      <c r="A34" t="n">
        <v>30</v>
      </c>
      <c r="B34" t="inlineStr">
        <is>
          <t>agro_industry_and_commerce</t>
        </is>
      </c>
      <c r="C34" s="8" t="n">
        <v>177</v>
      </c>
      <c r="D34" s="8" t="n">
        <v>206</v>
      </c>
      <c r="E34" s="5" t="n">
        <v>70566.10000000001</v>
      </c>
      <c r="F34" s="12">
        <f>E34/SUM($E$5:$E$78)</f>
        <v/>
      </c>
      <c r="G34" s="12">
        <f>SUM($F$5:F34)</f>
        <v/>
      </c>
      <c r="H34" s="6">
        <f>IF(G34-F34&lt;0.8,"A",IF(G34-F34&lt;0.95,"B","C"))</f>
        <v/>
      </c>
    </row>
    <row r="35">
      <c r="A35" t="n">
        <v>31</v>
      </c>
      <c r="B35" t="inlineStr">
        <is>
          <t>furniture_living_room</t>
        </is>
      </c>
      <c r="C35" s="8" t="n">
        <v>414</v>
      </c>
      <c r="D35" s="8" t="n">
        <v>495</v>
      </c>
      <c r="E35" s="5" t="n">
        <v>67350.7</v>
      </c>
      <c r="F35" s="12">
        <f>E35/SUM($E$5:$E$78)</f>
        <v/>
      </c>
      <c r="G35" s="12">
        <f>SUM($F$5:F35)</f>
        <v/>
      </c>
      <c r="H35" s="6">
        <f>IF(G35-F35&lt;0.8,"A",IF(G35-F35&lt;0.95,"B","C"))</f>
        <v/>
      </c>
    </row>
    <row r="36">
      <c r="A36" t="n">
        <v>32</v>
      </c>
      <c r="B36" t="inlineStr">
        <is>
          <t>home_confort</t>
        </is>
      </c>
      <c r="C36" s="8" t="n">
        <v>392</v>
      </c>
      <c r="D36" s="8" t="n">
        <v>429</v>
      </c>
      <c r="E36" s="5" t="n">
        <v>58008.45</v>
      </c>
      <c r="F36" s="12">
        <f>E36/SUM($E$5:$E$78)</f>
        <v/>
      </c>
      <c r="G36" s="12">
        <f>SUM($F$5:F36)</f>
        <v/>
      </c>
      <c r="H36" s="6">
        <f>IF(G36-F36&lt;0.8,"A",IF(G36-F36&lt;0.95,"B","C"))</f>
        <v/>
      </c>
    </row>
    <row r="37">
      <c r="A37" t="n">
        <v>33</v>
      </c>
      <c r="B37" t="inlineStr">
        <is>
          <t>fixed_telephony</t>
        </is>
      </c>
      <c r="C37" s="8" t="n">
        <v>212</v>
      </c>
      <c r="D37" s="8" t="n">
        <v>255</v>
      </c>
      <c r="E37" s="5" t="n">
        <v>55315.21</v>
      </c>
      <c r="F37" s="12">
        <f>E37/SUM($E$5:$E$78)</f>
        <v/>
      </c>
      <c r="G37" s="12">
        <f>SUM($F$5:F37)</f>
        <v/>
      </c>
      <c r="H37" s="6">
        <f>IF(G37-F37&lt;0.8,"A",IF(G37-F37&lt;0.95,"B","C"))</f>
        <v/>
      </c>
    </row>
    <row r="38">
      <c r="A38" t="n">
        <v>34</v>
      </c>
      <c r="B38" t="inlineStr">
        <is>
          <t>air_conditioning</t>
        </is>
      </c>
      <c r="C38" s="8" t="n">
        <v>246</v>
      </c>
      <c r="D38" s="8" t="n">
        <v>289</v>
      </c>
      <c r="E38" s="5" t="n">
        <v>53323.56</v>
      </c>
      <c r="F38" s="12">
        <f>E38/SUM($E$5:$E$78)</f>
        <v/>
      </c>
      <c r="G38" s="12">
        <f>SUM($F$5:F38)</f>
        <v/>
      </c>
      <c r="H38" s="6">
        <f>IF(G38-F38&lt;0.8,"A",IF(G38-F38&lt;0.95,"B","C"))</f>
        <v/>
      </c>
    </row>
    <row r="39">
      <c r="A39" t="n">
        <v>35</v>
      </c>
      <c r="B39" t="inlineStr">
        <is>
          <t>audio</t>
        </is>
      </c>
      <c r="C39" s="8" t="n">
        <v>348</v>
      </c>
      <c r="D39" s="8" t="n">
        <v>362</v>
      </c>
      <c r="E39" s="5" t="n">
        <v>50570.6</v>
      </c>
      <c r="F39" s="12">
        <f>E39/SUM($E$5:$E$78)</f>
        <v/>
      </c>
      <c r="G39" s="12">
        <f>SUM($F$5:F39)</f>
        <v/>
      </c>
      <c r="H39" s="6">
        <f>IF(G39-F39&lt;0.8,"A",IF(G39-F39&lt;0.95,"B","C"))</f>
        <v/>
      </c>
    </row>
    <row r="40">
      <c r="A40" t="n">
        <v>36</v>
      </c>
      <c r="B40" t="inlineStr">
        <is>
          <t>small_appliances_home_oven_and_coffee</t>
        </is>
      </c>
      <c r="C40" s="8" t="n">
        <v>72</v>
      </c>
      <c r="D40" s="8" t="n">
        <v>73</v>
      </c>
      <c r="E40" s="5" t="n">
        <v>46589.56</v>
      </c>
      <c r="F40" s="12">
        <f>E40/SUM($E$5:$E$78)</f>
        <v/>
      </c>
      <c r="G40" s="12">
        <f>SUM($F$5:F40)</f>
        <v/>
      </c>
      <c r="H40" s="6">
        <f>IF(G40-F40&lt;0.8,"A",IF(G40-F40&lt;0.95,"B","C"))</f>
        <v/>
      </c>
    </row>
    <row r="41">
      <c r="A41" t="n">
        <v>37</v>
      </c>
      <c r="B41" t="inlineStr">
        <is>
          <t>kitchen_dining_laundry_garden_furniture</t>
        </is>
      </c>
      <c r="C41" s="8" t="n">
        <v>241</v>
      </c>
      <c r="D41" s="8" t="n">
        <v>274</v>
      </c>
      <c r="E41" s="5" t="n">
        <v>45531.98</v>
      </c>
      <c r="F41" s="12">
        <f>E41/SUM($E$5:$E$78)</f>
        <v/>
      </c>
      <c r="G41" s="12">
        <f>SUM($F$5:F41)</f>
        <v/>
      </c>
      <c r="H41" s="6">
        <f>IF(G41-F41&lt;0.8,"A",IF(G41-F41&lt;0.95,"B","C"))</f>
        <v/>
      </c>
    </row>
    <row r="42">
      <c r="A42" t="n">
        <v>38</v>
      </c>
      <c r="B42" t="inlineStr">
        <is>
          <t>books_general_interest</t>
        </is>
      </c>
      <c r="C42" s="8" t="n">
        <v>496</v>
      </c>
      <c r="D42" s="8" t="n">
        <v>537</v>
      </c>
      <c r="E42" s="5" t="n">
        <v>45302.15</v>
      </c>
      <c r="F42" s="12">
        <f>E42/SUM($E$5:$E$78)</f>
        <v/>
      </c>
      <c r="G42" s="12">
        <f>SUM($F$5:F42)</f>
        <v/>
      </c>
      <c r="H42" s="6">
        <f>IF(G42-F42&lt;0.8,"A",IF(G42-F42&lt;0.95,"B","C"))</f>
        <v/>
      </c>
    </row>
    <row r="43">
      <c r="A43" t="n">
        <v>39</v>
      </c>
      <c r="B43" t="inlineStr">
        <is>
          <t>construction_tools_lights</t>
        </is>
      </c>
      <c r="C43" s="8" t="n">
        <v>242</v>
      </c>
      <c r="D43" s="8" t="n">
        <v>301</v>
      </c>
      <c r="E43" s="5" t="n">
        <v>39957</v>
      </c>
      <c r="F43" s="12">
        <f>E43/SUM($E$5:$E$78)</f>
        <v/>
      </c>
      <c r="G43" s="12">
        <f>SUM($F$5:F43)</f>
        <v/>
      </c>
      <c r="H43" s="6">
        <f>IF(G43-F43&lt;0.8,"A",IF(G43-F43&lt;0.95,"B","C"))</f>
        <v/>
      </c>
    </row>
    <row r="44">
      <c r="A44" t="n">
        <v>40</v>
      </c>
      <c r="B44" t="inlineStr">
        <is>
          <t>construction_tools_safety</t>
        </is>
      </c>
      <c r="C44" s="8" t="n">
        <v>159</v>
      </c>
      <c r="D44" s="8" t="n">
        <v>183</v>
      </c>
      <c r="E44" s="5" t="n">
        <v>38773.22</v>
      </c>
      <c r="F44" s="12">
        <f>E44/SUM($E$5:$E$78)</f>
        <v/>
      </c>
      <c r="G44" s="12">
        <f>SUM($F$5:F44)</f>
        <v/>
      </c>
      <c r="H44" s="6">
        <f>IF(G44-F44&lt;0.8,"A",IF(G44-F44&lt;0.95,"B","C"))</f>
        <v/>
      </c>
    </row>
    <row r="45">
      <c r="A45" t="n">
        <v>41</v>
      </c>
      <c r="B45" t="inlineStr">
        <is>
          <t>industry_commerce_and_business</t>
        </is>
      </c>
      <c r="C45" s="8" t="n">
        <v>232</v>
      </c>
      <c r="D45" s="8" t="n">
        <v>265</v>
      </c>
      <c r="E45" s="5" t="n">
        <v>38498.81</v>
      </c>
      <c r="F45" s="12">
        <f>E45/SUM($E$5:$E$78)</f>
        <v/>
      </c>
      <c r="G45" s="12">
        <f>SUM($F$5:F45)</f>
        <v/>
      </c>
      <c r="H45" s="6">
        <f>IF(G45-F45&lt;0.8,"A",IF(G45-F45&lt;0.95,"B","C"))</f>
        <v/>
      </c>
    </row>
    <row r="46">
      <c r="A46" t="n">
        <v>42</v>
      </c>
      <c r="B46" t="inlineStr">
        <is>
          <t>food</t>
        </is>
      </c>
      <c r="C46" s="8" t="n">
        <v>441</v>
      </c>
      <c r="D46" s="8" t="n">
        <v>499</v>
      </c>
      <c r="E46" s="5" t="n">
        <v>28731.15</v>
      </c>
      <c r="F46" s="12">
        <f>E46/SUM($E$5:$E$78)</f>
        <v/>
      </c>
      <c r="G46" s="12">
        <f>SUM($F$5:F46)</f>
        <v/>
      </c>
      <c r="H46" s="6">
        <f>IF(G46-F46&lt;0.8,"A",IF(G46-F46&lt;0.95,"B","C"))</f>
        <v/>
      </c>
    </row>
    <row r="47">
      <c r="A47" t="n">
        <v>43</v>
      </c>
      <c r="B47" t="inlineStr">
        <is>
          <t>market_place</t>
        </is>
      </c>
      <c r="C47" s="8" t="n">
        <v>274</v>
      </c>
      <c r="D47" s="8" t="n">
        <v>305</v>
      </c>
      <c r="E47" s="5" t="n">
        <v>27795.77</v>
      </c>
      <c r="F47" s="12">
        <f>E47/SUM($E$5:$E$78)</f>
        <v/>
      </c>
      <c r="G47" s="12">
        <f>SUM($F$5:F47)</f>
        <v/>
      </c>
      <c r="H47" s="6">
        <f>IF(G47-F47&lt;0.8,"A",IF(G47-F47&lt;0.95,"B","C"))</f>
        <v/>
      </c>
    </row>
    <row r="48">
      <c r="A48" t="n">
        <v>44</v>
      </c>
      <c r="B48" t="inlineStr">
        <is>
          <t>costruction_tools_garden</t>
        </is>
      </c>
      <c r="C48" s="8" t="n">
        <v>190</v>
      </c>
      <c r="D48" s="8" t="n">
        <v>232</v>
      </c>
      <c r="E48" s="5" t="n">
        <v>25096.28</v>
      </c>
      <c r="F48" s="12">
        <f>E48/SUM($E$5:$E$78)</f>
        <v/>
      </c>
      <c r="G48" s="12">
        <f>SUM($F$5:F48)</f>
        <v/>
      </c>
      <c r="H48" s="6">
        <f>IF(G48-F48&lt;0.8,"A",IF(G48-F48&lt;0.95,"B","C"))</f>
        <v/>
      </c>
    </row>
    <row r="49">
      <c r="A49" t="n">
        <v>45</v>
      </c>
      <c r="B49" t="inlineStr">
        <is>
          <t>art</t>
        </is>
      </c>
      <c r="C49" s="8" t="n">
        <v>195</v>
      </c>
      <c r="D49" s="8" t="n">
        <v>197</v>
      </c>
      <c r="E49" s="5" t="n">
        <v>23657.3</v>
      </c>
      <c r="F49" s="12">
        <f>E49/SUM($E$5:$E$78)</f>
        <v/>
      </c>
      <c r="G49" s="12">
        <f>SUM($F$5:F49)</f>
        <v/>
      </c>
      <c r="H49" s="6">
        <f>IF(G49-F49&lt;0.8,"A",IF(G49-F49&lt;0.95,"B","C"))</f>
        <v/>
      </c>
    </row>
    <row r="50">
      <c r="A50" t="n">
        <v>46</v>
      </c>
      <c r="B50" t="inlineStr">
        <is>
          <t>fashion_shoes</t>
        </is>
      </c>
      <c r="C50" s="8" t="n">
        <v>235</v>
      </c>
      <c r="D50" s="8" t="n">
        <v>257</v>
      </c>
      <c r="E50" s="5" t="n">
        <v>23001.46</v>
      </c>
      <c r="F50" s="12">
        <f>E50/SUM($E$5:$E$78)</f>
        <v/>
      </c>
      <c r="G50" s="12">
        <f>SUM($F$5:F50)</f>
        <v/>
      </c>
      <c r="H50" s="6">
        <f>IF(G50-F50&lt;0.8,"A",IF(G50-F50&lt;0.95,"B","C"))</f>
        <v/>
      </c>
    </row>
    <row r="51">
      <c r="A51" t="n">
        <v>47</v>
      </c>
      <c r="B51" t="inlineStr">
        <is>
          <t>drinks</t>
        </is>
      </c>
      <c r="C51" s="8" t="n">
        <v>287</v>
      </c>
      <c r="D51" s="8" t="n">
        <v>361</v>
      </c>
      <c r="E51" s="5" t="n">
        <v>21529.84</v>
      </c>
      <c r="F51" s="12">
        <f>E51/SUM($E$5:$E$78)</f>
        <v/>
      </c>
      <c r="G51" s="12">
        <f>SUM($F$5:F51)</f>
        <v/>
      </c>
      <c r="H51" s="6">
        <f>IF(G51-F51&lt;0.8,"A",IF(G51-F51&lt;0.95,"B","C"))</f>
        <v/>
      </c>
    </row>
    <row r="52">
      <c r="A52" t="n">
        <v>48</v>
      </c>
      <c r="B52" t="inlineStr">
        <is>
          <t>signaling_and_security</t>
        </is>
      </c>
      <c r="C52" s="8" t="n">
        <v>138</v>
      </c>
      <c r="D52" s="8" t="n">
        <v>197</v>
      </c>
      <c r="E52" s="5" t="n">
        <v>21315.05</v>
      </c>
      <c r="F52" s="12">
        <f>E52/SUM($E$5:$E$78)</f>
        <v/>
      </c>
      <c r="G52" s="12">
        <f>SUM($F$5:F52)</f>
        <v/>
      </c>
      <c r="H52" s="6">
        <f>IF(G52-F52&lt;0.8,"A",IF(G52-F52&lt;0.95,"B","C"))</f>
        <v/>
      </c>
    </row>
    <row r="53">
      <c r="A53" t="n">
        <v>49</v>
      </c>
      <c r="B53" t="inlineStr">
        <is>
          <t>furniture_bedroom</t>
        </is>
      </c>
      <c r="C53" s="8" t="n">
        <v>90</v>
      </c>
      <c r="D53" s="8" t="n">
        <v>103</v>
      </c>
      <c r="E53" s="5" t="n">
        <v>19051.8</v>
      </c>
      <c r="F53" s="12">
        <f>E53/SUM($E$5:$E$78)</f>
        <v/>
      </c>
      <c r="G53" s="12">
        <f>SUM($F$5:F53)</f>
        <v/>
      </c>
      <c r="H53" s="6">
        <f>IF(G53-F53&lt;0.8,"A",IF(G53-F53&lt;0.95,"B","C"))</f>
        <v/>
      </c>
    </row>
    <row r="54">
      <c r="A54" t="n">
        <v>50</v>
      </c>
      <c r="B54" t="inlineStr">
        <is>
          <t>books_technical</t>
        </is>
      </c>
      <c r="C54" s="8" t="n">
        <v>256</v>
      </c>
      <c r="D54" s="8" t="n">
        <v>263</v>
      </c>
      <c r="E54" s="5" t="n">
        <v>18702.23</v>
      </c>
      <c r="F54" s="12">
        <f>E54/SUM($E$5:$E$78)</f>
        <v/>
      </c>
      <c r="G54" s="12">
        <f>SUM($F$5:F54)</f>
        <v/>
      </c>
      <c r="H54" s="6">
        <f>IF(G54-F54&lt;0.8,"A",IF(G54-F54&lt;0.95,"B","C"))</f>
        <v/>
      </c>
    </row>
    <row r="55">
      <c r="A55" t="n">
        <v>51</v>
      </c>
      <c r="B55" t="inlineStr">
        <is>
          <t>costruction_tools_tools</t>
        </is>
      </c>
      <c r="C55" s="8" t="n">
        <v>97</v>
      </c>
      <c r="D55" s="8" t="n">
        <v>103</v>
      </c>
      <c r="E55" s="5" t="n">
        <v>15903.95</v>
      </c>
      <c r="F55" s="12">
        <f>E55/SUM($E$5:$E$78)</f>
        <v/>
      </c>
      <c r="G55" s="12">
        <f>SUM($F$5:F55)</f>
        <v/>
      </c>
      <c r="H55" s="6">
        <f>IF(G55-F55&lt;0.8,"A",IF(G55-F55&lt;0.95,"B","C"))</f>
        <v/>
      </c>
    </row>
    <row r="56">
      <c r="A56" t="n">
        <v>52</v>
      </c>
      <c r="B56" t="inlineStr">
        <is>
          <t>food_drink</t>
        </is>
      </c>
      <c r="C56" s="8" t="n">
        <v>221</v>
      </c>
      <c r="D56" s="8" t="n">
        <v>269</v>
      </c>
      <c r="E56" s="5" t="n">
        <v>14942.88</v>
      </c>
      <c r="F56" s="12">
        <f>E56/SUM($E$5:$E$78)</f>
        <v/>
      </c>
      <c r="G56" s="12">
        <f>SUM($F$5:F56)</f>
        <v/>
      </c>
      <c r="H56" s="6">
        <f>IF(G56-F56&lt;0.8,"A",IF(G56-F56&lt;0.95,"B","C"))</f>
        <v/>
      </c>
    </row>
    <row r="57">
      <c r="A57" t="n">
        <v>53</v>
      </c>
      <c r="B57" t="inlineStr">
        <is>
          <t>fashion_male_clothing</t>
        </is>
      </c>
      <c r="C57" s="8" t="n">
        <v>106</v>
      </c>
      <c r="D57" s="8" t="n">
        <v>125</v>
      </c>
      <c r="E57" s="5" t="n">
        <v>10452.33</v>
      </c>
      <c r="F57" s="12">
        <f>E57/SUM($E$5:$E$78)</f>
        <v/>
      </c>
      <c r="G57" s="12">
        <f>SUM($F$5:F57)</f>
        <v/>
      </c>
      <c r="H57" s="6">
        <f>IF(G57-F57&lt;0.8,"A",IF(G57-F57&lt;0.95,"B","C"))</f>
        <v/>
      </c>
    </row>
    <row r="58">
      <c r="A58" t="n">
        <v>54</v>
      </c>
      <c r="B58" t="inlineStr">
        <is>
          <t>fashion_underwear_beach</t>
        </is>
      </c>
      <c r="C58" s="8" t="n">
        <v>117</v>
      </c>
      <c r="D58" s="8" t="n">
        <v>127</v>
      </c>
      <c r="E58" s="5" t="n">
        <v>9305.950000000001</v>
      </c>
      <c r="F58" s="12">
        <f>E58/SUM($E$5:$E$78)</f>
        <v/>
      </c>
      <c r="G58" s="12">
        <f>SUM($F$5:F58)</f>
        <v/>
      </c>
      <c r="H58" s="6">
        <f>IF(G58-F58&lt;0.8,"A",IF(G58-F58&lt;0.95,"B","C"))</f>
        <v/>
      </c>
    </row>
    <row r="59">
      <c r="A59" t="n">
        <v>55</v>
      </c>
      <c r="B59" t="inlineStr">
        <is>
          <t>christmas_supplies</t>
        </is>
      </c>
      <c r="C59" s="8" t="n">
        <v>125</v>
      </c>
      <c r="D59" s="8" t="n">
        <v>150</v>
      </c>
      <c r="E59" s="5" t="n">
        <v>8737.84</v>
      </c>
      <c r="F59" s="12">
        <f>E59/SUM($E$5:$E$78)</f>
        <v/>
      </c>
      <c r="G59" s="12">
        <f>SUM($F$5:F59)</f>
        <v/>
      </c>
      <c r="H59" s="6">
        <f>IF(G59-F59&lt;0.8,"A",IF(G59-F59&lt;0.95,"B","C"))</f>
        <v/>
      </c>
    </row>
    <row r="60">
      <c r="A60" t="n">
        <v>56</v>
      </c>
      <c r="B60" t="inlineStr">
        <is>
          <t>tablets_printing_image</t>
        </is>
      </c>
      <c r="C60" s="8" t="n">
        <v>79</v>
      </c>
      <c r="D60" s="8" t="n">
        <v>83</v>
      </c>
      <c r="E60" s="5" t="n">
        <v>7528.41</v>
      </c>
      <c r="F60" s="12">
        <f>E60/SUM($E$5:$E$78)</f>
        <v/>
      </c>
      <c r="G60" s="12">
        <f>SUM($F$5:F60)</f>
        <v/>
      </c>
      <c r="H60" s="6">
        <f>IF(G60-F60&lt;0.8,"A",IF(G60-F60&lt;0.95,"B","C"))</f>
        <v/>
      </c>
    </row>
    <row r="61">
      <c r="A61" t="n">
        <v>57</v>
      </c>
      <c r="B61" t="inlineStr">
        <is>
          <t>cine_photo</t>
        </is>
      </c>
      <c r="C61" s="8" t="n">
        <v>63</v>
      </c>
      <c r="D61" s="8" t="n">
        <v>70</v>
      </c>
      <c r="E61" s="5" t="n">
        <v>6674.47</v>
      </c>
      <c r="F61" s="12">
        <f>E61/SUM($E$5:$E$78)</f>
        <v/>
      </c>
      <c r="G61" s="12">
        <f>SUM($F$5:F61)</f>
        <v/>
      </c>
      <c r="H61" s="6">
        <f>IF(G61-F61&lt;0.8,"A",IF(G61-F61&lt;0.95,"B","C"))</f>
        <v/>
      </c>
    </row>
    <row r="62">
      <c r="A62" t="n">
        <v>58</v>
      </c>
      <c r="B62" t="inlineStr">
        <is>
          <t>music</t>
        </is>
      </c>
      <c r="C62" s="8" t="n">
        <v>38</v>
      </c>
      <c r="D62" s="8" t="n">
        <v>38</v>
      </c>
      <c r="E62" s="5" t="n">
        <v>6034.35</v>
      </c>
      <c r="F62" s="12">
        <f>E62/SUM($E$5:$E$78)</f>
        <v/>
      </c>
      <c r="G62" s="12">
        <f>SUM($F$5:F62)</f>
        <v/>
      </c>
      <c r="H62" s="6">
        <f>IF(G62-F62&lt;0.8,"A",IF(G62-F62&lt;0.95,"B","C"))</f>
        <v/>
      </c>
    </row>
    <row r="63">
      <c r="A63" t="n">
        <v>59</v>
      </c>
      <c r="B63" t="inlineStr">
        <is>
          <t>dvds_blu_ray</t>
        </is>
      </c>
      <c r="C63" s="8" t="n">
        <v>56</v>
      </c>
      <c r="D63" s="8" t="n">
        <v>61</v>
      </c>
      <c r="E63" s="5" t="n">
        <v>4542.59</v>
      </c>
      <c r="F63" s="12">
        <f>E63/SUM($E$5:$E$78)</f>
        <v/>
      </c>
      <c r="G63" s="12">
        <f>SUM($F$5:F63)</f>
        <v/>
      </c>
      <c r="H63" s="6">
        <f>IF(G63-F63&lt;0.8,"A",IF(G63-F63&lt;0.95,"B","C"))</f>
        <v/>
      </c>
    </row>
    <row r="64">
      <c r="A64" t="n">
        <v>60</v>
      </c>
      <c r="B64" t="inlineStr">
        <is>
          <t>party_supplies</t>
        </is>
      </c>
      <c r="C64" s="8" t="n">
        <v>38</v>
      </c>
      <c r="D64" s="8" t="n">
        <v>42</v>
      </c>
      <c r="E64" s="5" t="n">
        <v>4465.19</v>
      </c>
      <c r="F64" s="12">
        <f>E64/SUM($E$5:$E$78)</f>
        <v/>
      </c>
      <c r="G64" s="12">
        <f>SUM($F$5:F64)</f>
        <v/>
      </c>
      <c r="H64" s="6">
        <f>IF(G64-F64&lt;0.8,"A",IF(G64-F64&lt;0.95,"B","C"))</f>
        <v/>
      </c>
    </row>
    <row r="65">
      <c r="A65" t="n">
        <v>61</v>
      </c>
      <c r="B65" t="inlineStr">
        <is>
          <t>books_imported</t>
        </is>
      </c>
      <c r="C65" s="8" t="n">
        <v>50</v>
      </c>
      <c r="D65" s="8" t="n">
        <v>57</v>
      </c>
      <c r="E65" s="5" t="n">
        <v>4418.86</v>
      </c>
      <c r="F65" s="12">
        <f>E65/SUM($E$5:$E$78)</f>
        <v/>
      </c>
      <c r="G65" s="12">
        <f>SUM($F$5:F65)</f>
        <v/>
      </c>
      <c r="H65" s="6">
        <f>IF(G65-F65&lt;0.8,"A",IF(G65-F65&lt;0.95,"B","C"))</f>
        <v/>
      </c>
    </row>
    <row r="66">
      <c r="A66" t="n">
        <v>62</v>
      </c>
      <c r="B66" t="inlineStr">
        <is>
          <t>furniture_mattress_and_upholstery</t>
        </is>
      </c>
      <c r="C66" s="8" t="n">
        <v>37</v>
      </c>
      <c r="D66" s="8" t="n">
        <v>37</v>
      </c>
      <c r="E66" s="5" t="n">
        <v>4323.38</v>
      </c>
      <c r="F66" s="12">
        <f>E66/SUM($E$5:$E$78)</f>
        <v/>
      </c>
      <c r="G66" s="12">
        <f>SUM($F$5:F66)</f>
        <v/>
      </c>
      <c r="H66" s="6">
        <f>IF(G66-F66&lt;0.8,"A",IF(G66-F66&lt;0.95,"B","C"))</f>
        <v/>
      </c>
    </row>
    <row r="67">
      <c r="A67" t="n">
        <v>63</v>
      </c>
      <c r="B67" t="inlineStr">
        <is>
          <t>kitchen_portables_and_food_preparers</t>
        </is>
      </c>
      <c r="C67" s="8" t="n">
        <v>13</v>
      </c>
      <c r="D67" s="8" t="n">
        <v>14</v>
      </c>
      <c r="E67" s="5" t="n">
        <v>3933.63</v>
      </c>
      <c r="F67" s="12">
        <f>E67/SUM($E$5:$E$78)</f>
        <v/>
      </c>
      <c r="G67" s="12">
        <f>SUM($F$5:F67)</f>
        <v/>
      </c>
      <c r="H67" s="6">
        <f>IF(G67-F67&lt;0.8,"A",IF(G67-F67&lt;0.95,"B","C"))</f>
        <v/>
      </c>
    </row>
    <row r="68">
      <c r="A68" t="n">
        <v>64</v>
      </c>
      <c r="B68" t="inlineStr">
        <is>
          <t>fashio_female_clothing</t>
        </is>
      </c>
      <c r="C68" s="8" t="n">
        <v>36</v>
      </c>
      <c r="D68" s="8" t="n">
        <v>45</v>
      </c>
      <c r="E68" s="5" t="n">
        <v>2634.94</v>
      </c>
      <c r="F68" s="12">
        <f>E68/SUM($E$5:$E$78)</f>
        <v/>
      </c>
      <c r="G68" s="12">
        <f>SUM($F$5:F68)</f>
        <v/>
      </c>
      <c r="H68" s="6">
        <f>IF(G68-F68&lt;0.8,"A",IF(G68-F68&lt;0.95,"B","C"))</f>
        <v/>
      </c>
    </row>
    <row r="69">
      <c r="A69" t="n">
        <v>65</v>
      </c>
      <c r="B69" t="inlineStr">
        <is>
          <t>fashion_sport</t>
        </is>
      </c>
      <c r="C69" s="8" t="n">
        <v>26</v>
      </c>
      <c r="D69" s="8" t="n">
        <v>29</v>
      </c>
      <c r="E69" s="5" t="n">
        <v>2094.52</v>
      </c>
      <c r="F69" s="12">
        <f>E69/SUM($E$5:$E$78)</f>
        <v/>
      </c>
      <c r="G69" s="12">
        <f>SUM($F$5:F69)</f>
        <v/>
      </c>
      <c r="H69" s="6">
        <f>IF(G69-F69&lt;0.8,"A",IF(G69-F69&lt;0.95,"B","C"))</f>
        <v/>
      </c>
    </row>
    <row r="70">
      <c r="A70" t="n">
        <v>66</v>
      </c>
      <c r="B70" t="inlineStr">
        <is>
          <t>la_cuisine</t>
        </is>
      </c>
      <c r="C70" s="8" t="n">
        <v>13</v>
      </c>
      <c r="D70" s="8" t="n">
        <v>14</v>
      </c>
      <c r="E70" s="5" t="n">
        <v>2054.99</v>
      </c>
      <c r="F70" s="12">
        <f>E70/SUM($E$5:$E$78)</f>
        <v/>
      </c>
      <c r="G70" s="12">
        <f>SUM($F$5:F70)</f>
        <v/>
      </c>
      <c r="H70" s="6">
        <f>IF(G70-F70&lt;0.8,"A",IF(G70-F70&lt;0.95,"B","C"))</f>
        <v/>
      </c>
    </row>
    <row r="71">
      <c r="A71" t="n">
        <v>67</v>
      </c>
      <c r="B71" t="inlineStr">
        <is>
          <t>arts_and_craftmanship</t>
        </is>
      </c>
      <c r="C71" s="8" t="n">
        <v>23</v>
      </c>
      <c r="D71" s="8" t="n">
        <v>24</v>
      </c>
      <c r="E71" s="5" t="n">
        <v>1814.01</v>
      </c>
      <c r="F71" s="12">
        <f>E71/SUM($E$5:$E$78)</f>
        <v/>
      </c>
      <c r="G71" s="12">
        <f>SUM($F$5:F71)</f>
        <v/>
      </c>
      <c r="H71" s="6">
        <f>IF(G71-F71&lt;0.8,"A",IF(G71-F71&lt;0.95,"B","C"))</f>
        <v/>
      </c>
    </row>
    <row r="72">
      <c r="A72" t="n">
        <v>68</v>
      </c>
      <c r="B72" t="inlineStr">
        <is>
          <t>diapers_and_hygiene</t>
        </is>
      </c>
      <c r="C72" s="8" t="n">
        <v>25</v>
      </c>
      <c r="D72" s="8" t="n">
        <v>37</v>
      </c>
      <c r="E72" s="5" t="n">
        <v>1500.79</v>
      </c>
      <c r="F72" s="12">
        <f>E72/SUM($E$5:$E$78)</f>
        <v/>
      </c>
      <c r="G72" s="12">
        <f>SUM($F$5:F72)</f>
        <v/>
      </c>
      <c r="H72" s="6">
        <f>IF(G72-F72&lt;0.8,"A",IF(G72-F72&lt;0.95,"B","C"))</f>
        <v/>
      </c>
    </row>
    <row r="73">
      <c r="A73" t="n">
        <v>69</v>
      </c>
      <c r="B73" t="inlineStr">
        <is>
          <t>pc_gamer</t>
        </is>
      </c>
      <c r="C73" s="8" t="n">
        <v>7</v>
      </c>
      <c r="D73" s="8" t="n">
        <v>8</v>
      </c>
      <c r="E73" s="5" t="n">
        <v>1306.95</v>
      </c>
      <c r="F73" s="12">
        <f>E73/SUM($E$5:$E$78)</f>
        <v/>
      </c>
      <c r="G73" s="12">
        <f>SUM($F$5:F73)</f>
        <v/>
      </c>
      <c r="H73" s="6">
        <f>IF(G73-F73&lt;0.8,"A",IF(G73-F73&lt;0.95,"B","C"))</f>
        <v/>
      </c>
    </row>
    <row r="74">
      <c r="A74" t="n">
        <v>70</v>
      </c>
      <c r="B74" t="inlineStr">
        <is>
          <t>flowers</t>
        </is>
      </c>
      <c r="C74" s="8" t="n">
        <v>29</v>
      </c>
      <c r="D74" s="8" t="n">
        <v>33</v>
      </c>
      <c r="E74" s="5" t="n">
        <v>1110.04</v>
      </c>
      <c r="F74" s="12">
        <f>E74/SUM($E$5:$E$78)</f>
        <v/>
      </c>
      <c r="G74" s="12">
        <f>SUM($F$5:F74)</f>
        <v/>
      </c>
      <c r="H74" s="6">
        <f>IF(G74-F74&lt;0.8,"A",IF(G74-F74&lt;0.95,"B","C"))</f>
        <v/>
      </c>
    </row>
    <row r="75">
      <c r="A75" t="n">
        <v>71</v>
      </c>
      <c r="B75" t="inlineStr">
        <is>
          <t>home_comfort_2</t>
        </is>
      </c>
      <c r="C75" s="8" t="n">
        <v>24</v>
      </c>
      <c r="D75" s="8" t="n">
        <v>30</v>
      </c>
      <c r="E75" s="5" t="n">
        <v>760.27</v>
      </c>
      <c r="F75" s="12">
        <f>E75/SUM($E$5:$E$78)</f>
        <v/>
      </c>
      <c r="G75" s="12">
        <f>SUM($F$5:F75)</f>
        <v/>
      </c>
      <c r="H75" s="6">
        <f>IF(G75-F75&lt;0.8,"A",IF(G75-F75&lt;0.95,"B","C"))</f>
        <v/>
      </c>
    </row>
    <row r="76">
      <c r="A76" t="n">
        <v>72</v>
      </c>
      <c r="B76" t="inlineStr">
        <is>
          <t>cds_dvds_musicals</t>
        </is>
      </c>
      <c r="C76" s="8" t="n">
        <v>12</v>
      </c>
      <c r="D76" s="8" t="n">
        <v>14</v>
      </c>
      <c r="E76" s="5" t="n">
        <v>730</v>
      </c>
      <c r="F76" s="12">
        <f>E76/SUM($E$5:$E$78)</f>
        <v/>
      </c>
      <c r="G76" s="12">
        <f>SUM($F$5:F76)</f>
        <v/>
      </c>
      <c r="H76" s="6">
        <f>IF(G76-F76&lt;0.8,"A",IF(G76-F76&lt;0.95,"B","C"))</f>
        <v/>
      </c>
    </row>
    <row r="77">
      <c r="A77" t="n">
        <v>73</v>
      </c>
      <c r="B77" t="inlineStr">
        <is>
          <t>fashion_childrens_clothes</t>
        </is>
      </c>
      <c r="C77" s="8" t="n">
        <v>7</v>
      </c>
      <c r="D77" s="8" t="n">
        <v>7</v>
      </c>
      <c r="E77" s="5" t="n">
        <v>519.95</v>
      </c>
      <c r="F77" s="12">
        <f>E77/SUM($E$5:$E$78)</f>
        <v/>
      </c>
      <c r="G77" s="12">
        <f>SUM($F$5:F77)</f>
        <v/>
      </c>
      <c r="H77" s="6">
        <f>IF(G77-F77&lt;0.8,"A",IF(G77-F77&lt;0.95,"B","C"))</f>
        <v/>
      </c>
    </row>
    <row r="78">
      <c r="A78" t="n">
        <v>74</v>
      </c>
      <c r="B78" t="inlineStr">
        <is>
          <t>security_and_services</t>
        </is>
      </c>
      <c r="C78" s="8" t="n">
        <v>2</v>
      </c>
      <c r="D78" s="8" t="n">
        <v>2</v>
      </c>
      <c r="E78" s="5" t="n">
        <v>283.29</v>
      </c>
      <c r="F78" s="12">
        <f>E78/SUM($E$5:$E$78)</f>
        <v/>
      </c>
      <c r="G78" s="12">
        <f>SUM($F$5:F78)</f>
        <v/>
      </c>
      <c r="H78" s="6">
        <f>IF(G78-F78&lt;0.8,"A",IF(G78-F78&lt;0.95,"B","C"))</f>
        <v/>
      </c>
    </row>
  </sheetData>
  <conditionalFormatting sqref="H5:H78">
    <cfRule type="expression" priority="1" dxfId="3">
      <formula>$H5="A"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A78D6"/>
    <outlinePr summaryBelow="1" summaryRight="1"/>
    <pageSetUpPr/>
  </sheetPr>
  <dimension ref="A1:J4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Delivery performance and customer satisfaction</t>
        </is>
      </c>
    </row>
    <row r="2">
      <c r="A2" s="2" t="inlineStr">
        <is>
          <t>Late = delivered after the promised date. Review score is 1-5; a low review is 1 or 2 stars.</t>
        </is>
      </c>
    </row>
    <row r="4" ht="32" customHeight="1">
      <c r="A4" s="3" t="inlineStr">
        <is>
          <t>Delivery time</t>
        </is>
      </c>
      <c r="B4" s="3" t="inlineStr">
        <is>
          <t>Reviewed orders</t>
        </is>
      </c>
      <c r="C4" s="3" t="inlineStr">
        <is>
          <t>% of orders</t>
        </is>
      </c>
      <c r="D4" s="3" t="inlineStr">
        <is>
          <t>Avg review</t>
        </is>
      </c>
      <c r="E4" s="3" t="inlineStr">
        <is>
          <t>Low reviews %</t>
        </is>
      </c>
      <c r="F4" s="3" t="inlineStr">
        <is>
          <t>5-star %</t>
        </is>
      </c>
      <c r="G4" s="3" t="inlineStr">
        <is>
          <t>Late %</t>
        </is>
      </c>
    </row>
    <row r="5">
      <c r="A5" t="inlineStr">
        <is>
          <t>1. 0-3 days</t>
        </is>
      </c>
      <c r="B5" s="8" t="n">
        <v>6926</v>
      </c>
      <c r="C5" s="16">
        <f>B5/SUM($B$5:$B$10)</f>
        <v/>
      </c>
      <c r="D5" s="10" t="n">
        <v>4.463</v>
      </c>
      <c r="E5" s="16" t="n">
        <v>0.0703</v>
      </c>
      <c r="F5" s="16" t="n">
        <v>0.7101000000000001</v>
      </c>
      <c r="G5" s="16" t="n">
        <v>0</v>
      </c>
    </row>
    <row r="6">
      <c r="A6" t="inlineStr">
        <is>
          <t>2. 4-7 days</t>
        </is>
      </c>
      <c r="B6" s="8" t="n">
        <v>23624</v>
      </c>
      <c r="C6" s="16">
        <f>B6/SUM($B$5:$B$10)</f>
        <v/>
      </c>
      <c r="D6" s="10" t="n">
        <v>4.398</v>
      </c>
      <c r="E6" s="16" t="n">
        <v>0.0771</v>
      </c>
      <c r="F6" s="16" t="n">
        <v>0.6733</v>
      </c>
      <c r="G6" s="16" t="n">
        <v>0.0031</v>
      </c>
    </row>
    <row r="7">
      <c r="A7" t="inlineStr">
        <is>
          <t>3. 8-14 days</t>
        </is>
      </c>
      <c r="B7" s="8" t="n">
        <v>37775</v>
      </c>
      <c r="C7" s="16">
        <f>B7/SUM($B$5:$B$10)</f>
        <v/>
      </c>
      <c r="D7" s="10" t="n">
        <v>4.299</v>
      </c>
      <c r="E7" s="16" t="n">
        <v>0.09089999999999999</v>
      </c>
      <c r="F7" s="16" t="n">
        <v>0.6249</v>
      </c>
      <c r="G7" s="16" t="n">
        <v>0.008800000000000001</v>
      </c>
    </row>
    <row r="8">
      <c r="A8" t="inlineStr">
        <is>
          <t>4. 15-21 days</t>
        </is>
      </c>
      <c r="B8" s="8" t="n">
        <v>16054</v>
      </c>
      <c r="C8" s="16">
        <f>B8/SUM($B$5:$B$10)</f>
        <v/>
      </c>
      <c r="D8" s="10" t="n">
        <v>4.117</v>
      </c>
      <c r="E8" s="16" t="n">
        <v>0.122</v>
      </c>
      <c r="F8" s="16" t="n">
        <v>0.5486</v>
      </c>
      <c r="G8" s="16" t="n">
        <v>0.0362</v>
      </c>
    </row>
    <row r="9">
      <c r="A9" t="inlineStr">
        <is>
          <t>5. 22-28 days</t>
        </is>
      </c>
      <c r="B9" s="8" t="n">
        <v>6311</v>
      </c>
      <c r="C9" s="16">
        <f>B9/SUM($B$5:$B$10)</f>
        <v/>
      </c>
      <c r="D9" s="10" t="n">
        <v>3.615</v>
      </c>
      <c r="E9" s="16" t="n">
        <v>0.2383</v>
      </c>
      <c r="F9" s="16" t="n">
        <v>0.4068</v>
      </c>
      <c r="G9" s="16" t="n">
        <v>0.248</v>
      </c>
    </row>
    <row r="10">
      <c r="A10" t="inlineStr">
        <is>
          <t>6. 29+ days</t>
        </is>
      </c>
      <c r="B10" s="8" t="n">
        <v>5134</v>
      </c>
      <c r="C10" s="16">
        <f>B10/SUM($B$5:$B$10)</f>
        <v/>
      </c>
      <c r="D10" s="10" t="n">
        <v>2.367</v>
      </c>
      <c r="E10" s="16" t="n">
        <v>0.5976</v>
      </c>
      <c r="F10" s="16" t="n">
        <v>0.1837</v>
      </c>
      <c r="G10" s="16" t="n">
        <v>0.7454000000000001</v>
      </c>
    </row>
    <row r="13">
      <c r="A13" s="14" t="inlineStr">
        <is>
          <t>Late delivery by customer state (sorted by late rate)</t>
        </is>
      </c>
    </row>
    <row r="14" ht="32" customHeight="1">
      <c r="A14" s="3" t="inlineStr">
        <is>
          <t>State</t>
        </is>
      </c>
      <c r="B14" s="3" t="inlineStr">
        <is>
          <t>State name</t>
        </is>
      </c>
      <c r="C14" s="3" t="inlineStr">
        <is>
          <t>Region</t>
        </is>
      </c>
      <c r="D14" s="3" t="inlineStr">
        <is>
          <t>Delivered orders</t>
        </is>
      </c>
      <c r="E14" s="3" t="inlineStr">
        <is>
          <t>Late orders</t>
        </is>
      </c>
      <c r="F14" s="3" t="inlineStr">
        <is>
          <t>Late %</t>
        </is>
      </c>
      <c r="G14" s="3" t="inlineStr">
        <is>
          <t>vs national (pp)</t>
        </is>
      </c>
      <c r="H14" s="3" t="inlineStr">
        <is>
          <t>Avg days to deliver</t>
        </is>
      </c>
      <c r="I14" s="3" t="inlineStr">
        <is>
          <t>Avg review</t>
        </is>
      </c>
      <c r="J14" s="3" t="inlineStr">
        <is>
          <t>Late-rate rank</t>
        </is>
      </c>
    </row>
    <row r="15">
      <c r="A15" t="inlineStr">
        <is>
          <t>AL</t>
        </is>
      </c>
      <c r="B15" t="inlineStr">
        <is>
          <t>Alagoas</t>
        </is>
      </c>
      <c r="C15" t="inlineStr">
        <is>
          <t>Northeast</t>
        </is>
      </c>
      <c r="D15" s="8" t="n">
        <v>397</v>
      </c>
      <c r="E15" s="8" t="n">
        <v>85</v>
      </c>
      <c r="F15" s="12">
        <f>E15/D15</f>
        <v/>
      </c>
      <c r="G15" s="18">
        <f>(F15-SUM($E$15:$E$41)/SUM($D$15:$D$41))*100</f>
        <v/>
      </c>
      <c r="H15" s="19" t="n">
        <v>24.5</v>
      </c>
      <c r="I15" s="10" t="n">
        <v>3.848</v>
      </c>
      <c r="J15">
        <f>RANK(F15,$F$15:$F$41)</f>
        <v/>
      </c>
    </row>
    <row r="16">
      <c r="A16" t="inlineStr">
        <is>
          <t>MA</t>
        </is>
      </c>
      <c r="B16" t="inlineStr">
        <is>
          <t>Maranhao</t>
        </is>
      </c>
      <c r="C16" t="inlineStr">
        <is>
          <t>Northeast</t>
        </is>
      </c>
      <c r="D16" s="8" t="n">
        <v>717</v>
      </c>
      <c r="E16" s="8" t="n">
        <v>125</v>
      </c>
      <c r="F16" s="12">
        <f>E16/D16</f>
        <v/>
      </c>
      <c r="G16" s="18">
        <f>(F16-SUM($E$15:$E$41)/SUM($D$15:$D$41))*100</f>
        <v/>
      </c>
      <c r="H16" s="19" t="n">
        <v>21.5</v>
      </c>
      <c r="I16" s="10" t="n">
        <v>3.833</v>
      </c>
      <c r="J16">
        <f>RANK(F16,$F$15:$F$41)</f>
        <v/>
      </c>
    </row>
    <row r="17">
      <c r="A17" t="inlineStr">
        <is>
          <t>SE</t>
        </is>
      </c>
      <c r="B17" t="inlineStr">
        <is>
          <t>Sergipe</t>
        </is>
      </c>
      <c r="C17" t="inlineStr">
        <is>
          <t>Northeast</t>
        </is>
      </c>
      <c r="D17" s="8" t="n">
        <v>335</v>
      </c>
      <c r="E17" s="8" t="n">
        <v>51</v>
      </c>
      <c r="F17" s="12">
        <f>E17/D17</f>
        <v/>
      </c>
      <c r="G17" s="18">
        <f>(F17-SUM($E$15:$E$41)/SUM($D$15:$D$41))*100</f>
        <v/>
      </c>
      <c r="H17" s="19" t="n">
        <v>21.5</v>
      </c>
      <c r="I17" s="10" t="n">
        <v>3.907</v>
      </c>
      <c r="J17">
        <f>RANK(F17,$F$15:$F$41)</f>
        <v/>
      </c>
    </row>
    <row r="18">
      <c r="A18" t="inlineStr">
        <is>
          <t>PI</t>
        </is>
      </c>
      <c r="B18" t="inlineStr">
        <is>
          <t>Piaui</t>
        </is>
      </c>
      <c r="C18" t="inlineStr">
        <is>
          <t>Northeast</t>
        </is>
      </c>
      <c r="D18" s="8" t="n">
        <v>476</v>
      </c>
      <c r="E18" s="8" t="n">
        <v>66</v>
      </c>
      <c r="F18" s="12">
        <f>E18/D18</f>
        <v/>
      </c>
      <c r="G18" s="18">
        <f>(F18-SUM($E$15:$E$41)/SUM($D$15:$D$41))*100</f>
        <v/>
      </c>
      <c r="H18" s="19" t="n">
        <v>19.4</v>
      </c>
      <c r="I18" s="10" t="n">
        <v>3.994</v>
      </c>
      <c r="J18">
        <f>RANK(F18,$F$15:$F$41)</f>
        <v/>
      </c>
    </row>
    <row r="19">
      <c r="A19" t="inlineStr">
        <is>
          <t>CE</t>
        </is>
      </c>
      <c r="B19" t="inlineStr">
        <is>
          <t>Ceara</t>
        </is>
      </c>
      <c r="C19" t="inlineStr">
        <is>
          <t>Northeast</t>
        </is>
      </c>
      <c r="D19" s="8" t="n">
        <v>1279</v>
      </c>
      <c r="E19" s="8" t="n">
        <v>176</v>
      </c>
      <c r="F19" s="12">
        <f>E19/D19</f>
        <v/>
      </c>
      <c r="G19" s="18">
        <f>(F19-SUM($E$15:$E$41)/SUM($D$15:$D$41))*100</f>
        <v/>
      </c>
      <c r="H19" s="19" t="n">
        <v>21.2</v>
      </c>
      <c r="I19" s="10" t="n">
        <v>3.944</v>
      </c>
      <c r="J19">
        <f>RANK(F19,$F$15:$F$41)</f>
        <v/>
      </c>
    </row>
    <row r="20">
      <c r="A20" t="inlineStr">
        <is>
          <t>RR</t>
        </is>
      </c>
      <c r="B20" t="inlineStr">
        <is>
          <t>Roraima</t>
        </is>
      </c>
      <c r="C20" t="inlineStr">
        <is>
          <t>North</t>
        </is>
      </c>
      <c r="D20" s="8" t="n">
        <v>41</v>
      </c>
      <c r="E20" s="8" t="n">
        <v>5</v>
      </c>
      <c r="F20" s="12">
        <f>E20/D20</f>
        <v/>
      </c>
      <c r="G20" s="18">
        <f>(F20-SUM($E$15:$E$41)/SUM($D$15:$D$41))*100</f>
        <v/>
      </c>
      <c r="H20" s="19" t="n">
        <v>29.3</v>
      </c>
      <c r="I20" s="10" t="n">
        <v>3.902</v>
      </c>
      <c r="J20">
        <f>RANK(F20,$F$15:$F$41)</f>
        <v/>
      </c>
    </row>
    <row r="21">
      <c r="A21" t="inlineStr">
        <is>
          <t>BA</t>
        </is>
      </c>
      <c r="B21" t="inlineStr">
        <is>
          <t>Bahia</t>
        </is>
      </c>
      <c r="C21" t="inlineStr">
        <is>
          <t>Northeast</t>
        </is>
      </c>
      <c r="D21" s="8" t="n">
        <v>3256</v>
      </c>
      <c r="E21" s="8" t="n">
        <v>396</v>
      </c>
      <c r="F21" s="12">
        <f>E21/D21</f>
        <v/>
      </c>
      <c r="G21" s="18">
        <f>(F21-SUM($E$15:$E$41)/SUM($D$15:$D$41))*100</f>
        <v/>
      </c>
      <c r="H21" s="19" t="n">
        <v>19.3</v>
      </c>
      <c r="I21" s="10" t="n">
        <v>3.931</v>
      </c>
      <c r="J21">
        <f>RANK(F21,$F$15:$F$41)</f>
        <v/>
      </c>
    </row>
    <row r="22">
      <c r="A22" t="inlineStr">
        <is>
          <t>RJ</t>
        </is>
      </c>
      <c r="B22" t="inlineStr">
        <is>
          <t>Rio de Janeiro</t>
        </is>
      </c>
      <c r="C22" t="inlineStr">
        <is>
          <t>Southeast</t>
        </is>
      </c>
      <c r="D22" s="8" t="n">
        <v>12350</v>
      </c>
      <c r="E22" s="8" t="n">
        <v>1495</v>
      </c>
      <c r="F22" s="12">
        <f>E22/D22</f>
        <v/>
      </c>
      <c r="G22" s="18">
        <f>(F22-SUM($E$15:$E$41)/SUM($D$15:$D$41))*100</f>
        <v/>
      </c>
      <c r="H22" s="19" t="n">
        <v>15.2</v>
      </c>
      <c r="I22" s="10" t="n">
        <v>3.965</v>
      </c>
      <c r="J22">
        <f>RANK(F22,$F$15:$F$41)</f>
        <v/>
      </c>
    </row>
    <row r="23">
      <c r="A23" t="inlineStr">
        <is>
          <t>PA</t>
        </is>
      </c>
      <c r="B23" t="inlineStr">
        <is>
          <t>Para</t>
        </is>
      </c>
      <c r="C23" t="inlineStr">
        <is>
          <t>North</t>
        </is>
      </c>
      <c r="D23" s="8" t="n">
        <v>946</v>
      </c>
      <c r="E23" s="8" t="n">
        <v>106</v>
      </c>
      <c r="F23" s="12">
        <f>E23/D23</f>
        <v/>
      </c>
      <c r="G23" s="18">
        <f>(F23-SUM($E$15:$E$41)/SUM($D$15:$D$41))*100</f>
        <v/>
      </c>
      <c r="H23" s="19" t="n">
        <v>23.7</v>
      </c>
      <c r="I23" s="10" t="n">
        <v>3.914</v>
      </c>
      <c r="J23">
        <f>RANK(F23,$F$15:$F$41)</f>
        <v/>
      </c>
    </row>
    <row r="24">
      <c r="A24" t="inlineStr">
        <is>
          <t>ES</t>
        </is>
      </c>
      <c r="B24" t="inlineStr">
        <is>
          <t>Espirito Santo</t>
        </is>
      </c>
      <c r="C24" t="inlineStr">
        <is>
          <t>Southeast</t>
        </is>
      </c>
      <c r="D24" s="8" t="n">
        <v>1995</v>
      </c>
      <c r="E24" s="8" t="n">
        <v>214</v>
      </c>
      <c r="F24" s="12">
        <f>E24/D24</f>
        <v/>
      </c>
      <c r="G24" s="18">
        <f>(F24-SUM($E$15:$E$41)/SUM($D$15:$D$41))*100</f>
        <v/>
      </c>
      <c r="H24" s="19" t="n">
        <v>15.7</v>
      </c>
      <c r="I24" s="10" t="n">
        <v>4.079</v>
      </c>
      <c r="J24">
        <f>RANK(F24,$F$15:$F$41)</f>
        <v/>
      </c>
    </row>
    <row r="25">
      <c r="A25" t="inlineStr">
        <is>
          <t>PB</t>
        </is>
      </c>
      <c r="B25" t="inlineStr">
        <is>
          <t>Paraiba</t>
        </is>
      </c>
      <c r="C25" t="inlineStr">
        <is>
          <t>Northeast</t>
        </is>
      </c>
      <c r="D25" s="8" t="n">
        <v>517</v>
      </c>
      <c r="E25" s="8" t="n">
        <v>54</v>
      </c>
      <c r="F25" s="12">
        <f>E25/D25</f>
        <v/>
      </c>
      <c r="G25" s="18">
        <f>(F25-SUM($E$15:$E$41)/SUM($D$15:$D$41))*100</f>
        <v/>
      </c>
      <c r="H25" s="19" t="n">
        <v>20.4</v>
      </c>
      <c r="I25" s="10" t="n">
        <v>4.076</v>
      </c>
      <c r="J25">
        <f>RANK(F25,$F$15:$F$41)</f>
        <v/>
      </c>
    </row>
    <row r="26">
      <c r="A26" t="inlineStr">
        <is>
          <t>TO</t>
        </is>
      </c>
      <c r="B26" t="inlineStr">
        <is>
          <t>Tocantins</t>
        </is>
      </c>
      <c r="C26" t="inlineStr">
        <is>
          <t>North</t>
        </is>
      </c>
      <c r="D26" s="8" t="n">
        <v>274</v>
      </c>
      <c r="E26" s="8" t="n">
        <v>27</v>
      </c>
      <c r="F26" s="12">
        <f>E26/D26</f>
        <v/>
      </c>
      <c r="G26" s="18">
        <f>(F26-SUM($E$15:$E$41)/SUM($D$15:$D$41))*100</f>
        <v/>
      </c>
      <c r="H26" s="19" t="n">
        <v>17.6</v>
      </c>
      <c r="I26" s="10" t="n">
        <v>4.154</v>
      </c>
      <c r="J26">
        <f>RANK(F26,$F$15:$F$41)</f>
        <v/>
      </c>
    </row>
    <row r="27">
      <c r="A27" t="inlineStr">
        <is>
          <t>MS</t>
        </is>
      </c>
      <c r="B27" t="inlineStr">
        <is>
          <t>Mato Grosso do Sul</t>
        </is>
      </c>
      <c r="C27" t="inlineStr">
        <is>
          <t>Center-West</t>
        </is>
      </c>
      <c r="D27" s="8" t="n">
        <v>701</v>
      </c>
      <c r="E27" s="8" t="n">
        <v>68</v>
      </c>
      <c r="F27" s="12">
        <f>E27/D27</f>
        <v/>
      </c>
      <c r="G27" s="18">
        <f>(F27-SUM($E$15:$E$41)/SUM($D$15:$D$41))*100</f>
        <v/>
      </c>
      <c r="H27" s="19" t="n">
        <v>15.5</v>
      </c>
      <c r="I27" s="10" t="n">
        <v>4.162</v>
      </c>
      <c r="J27">
        <f>RANK(F27,$F$15:$F$41)</f>
        <v/>
      </c>
    </row>
    <row r="28">
      <c r="A28" t="inlineStr">
        <is>
          <t>PE</t>
        </is>
      </c>
      <c r="B28" t="inlineStr">
        <is>
          <t>Pernambuco</t>
        </is>
      </c>
      <c r="C28" t="inlineStr">
        <is>
          <t>Northeast</t>
        </is>
      </c>
      <c r="D28" s="8" t="n">
        <v>1593</v>
      </c>
      <c r="E28" s="8" t="n">
        <v>153</v>
      </c>
      <c r="F28" s="12">
        <f>E28/D28</f>
        <v/>
      </c>
      <c r="G28" s="18">
        <f>(F28-SUM($E$15:$E$41)/SUM($D$15:$D$41))*100</f>
        <v/>
      </c>
      <c r="H28" s="19" t="n">
        <v>18.4</v>
      </c>
      <c r="I28" s="10" t="n">
        <v>4.083</v>
      </c>
      <c r="J28">
        <f>RANK(F28,$F$15:$F$41)</f>
        <v/>
      </c>
    </row>
    <row r="29">
      <c r="A29" t="inlineStr">
        <is>
          <t>RN</t>
        </is>
      </c>
      <c r="B29" t="inlineStr">
        <is>
          <t>Rio Grande do Norte</t>
        </is>
      </c>
      <c r="C29" t="inlineStr">
        <is>
          <t>Northeast</t>
        </is>
      </c>
      <c r="D29" s="8" t="n">
        <v>474</v>
      </c>
      <c r="E29" s="8" t="n">
        <v>44</v>
      </c>
      <c r="F29" s="12">
        <f>E29/D29</f>
        <v/>
      </c>
      <c r="G29" s="18">
        <f>(F29-SUM($E$15:$E$41)/SUM($D$15:$D$41))*100</f>
        <v/>
      </c>
      <c r="H29" s="19" t="n">
        <v>19.2</v>
      </c>
      <c r="I29" s="10" t="n">
        <v>4.151</v>
      </c>
      <c r="J29">
        <f>RANK(F29,$F$15:$F$41)</f>
        <v/>
      </c>
    </row>
    <row r="30">
      <c r="A30" t="inlineStr">
        <is>
          <t>SC</t>
        </is>
      </c>
      <c r="B30" t="inlineStr">
        <is>
          <t>Santa Catarina</t>
        </is>
      </c>
      <c r="C30" t="inlineStr">
        <is>
          <t>South</t>
        </is>
      </c>
      <c r="D30" s="8" t="n">
        <v>3546</v>
      </c>
      <c r="E30" s="8" t="n">
        <v>291</v>
      </c>
      <c r="F30" s="12">
        <f>E30/D30</f>
        <v/>
      </c>
      <c r="G30" s="18">
        <f>(F30-SUM($E$15:$E$41)/SUM($D$15:$D$41))*100</f>
        <v/>
      </c>
      <c r="H30" s="19" t="n">
        <v>14.9</v>
      </c>
      <c r="I30" s="10" t="n">
        <v>4.134</v>
      </c>
      <c r="J30">
        <f>RANK(F30,$F$15:$F$41)</f>
        <v/>
      </c>
    </row>
    <row r="31">
      <c r="A31" t="inlineStr">
        <is>
          <t>GO</t>
        </is>
      </c>
      <c r="B31" t="inlineStr">
        <is>
          <t>Goias</t>
        </is>
      </c>
      <c r="C31" t="inlineStr">
        <is>
          <t>Center-West</t>
        </is>
      </c>
      <c r="D31" s="8" t="n">
        <v>1957</v>
      </c>
      <c r="E31" s="8" t="n">
        <v>128</v>
      </c>
      <c r="F31" s="12">
        <f>E31/D31</f>
        <v/>
      </c>
      <c r="G31" s="18">
        <f>(F31-SUM($E$15:$E$41)/SUM($D$15:$D$41))*100</f>
        <v/>
      </c>
      <c r="H31" s="19" t="n">
        <v>15.5</v>
      </c>
      <c r="I31" s="10" t="n">
        <v>4.106</v>
      </c>
      <c r="J31">
        <f>RANK(F31,$F$15:$F$41)</f>
        <v/>
      </c>
    </row>
    <row r="32">
      <c r="A32" t="inlineStr">
        <is>
          <t>RS</t>
        </is>
      </c>
      <c r="B32" t="inlineStr">
        <is>
          <t>Rio Grande do Sul</t>
        </is>
      </c>
      <c r="C32" t="inlineStr">
        <is>
          <t>South</t>
        </is>
      </c>
      <c r="D32" s="8" t="n">
        <v>5344</v>
      </c>
      <c r="E32" s="8" t="n">
        <v>325</v>
      </c>
      <c r="F32" s="12">
        <f>E32/D32</f>
        <v/>
      </c>
      <c r="G32" s="18">
        <f>(F32-SUM($E$15:$E$41)/SUM($D$15:$D$41))*100</f>
        <v/>
      </c>
      <c r="H32" s="19" t="n">
        <v>15.2</v>
      </c>
      <c r="I32" s="10" t="n">
        <v>4.185</v>
      </c>
      <c r="J32">
        <f>RANK(F32,$F$15:$F$41)</f>
        <v/>
      </c>
    </row>
    <row r="33">
      <c r="A33" t="inlineStr">
        <is>
          <t>MT</t>
        </is>
      </c>
      <c r="B33" t="inlineStr">
        <is>
          <t>Mato Grosso</t>
        </is>
      </c>
      <c r="C33" t="inlineStr">
        <is>
          <t>Center-West</t>
        </is>
      </c>
      <c r="D33" s="8" t="n">
        <v>886</v>
      </c>
      <c r="E33" s="8" t="n">
        <v>53</v>
      </c>
      <c r="F33" s="12">
        <f>E33/D33</f>
        <v/>
      </c>
      <c r="G33" s="18">
        <f>(F33-SUM($E$15:$E$41)/SUM($D$15:$D$41))*100</f>
        <v/>
      </c>
      <c r="H33" s="19" t="n">
        <v>18</v>
      </c>
      <c r="I33" s="10" t="n">
        <v>4.146</v>
      </c>
      <c r="J33">
        <f>RANK(F33,$F$15:$F$41)</f>
        <v/>
      </c>
    </row>
    <row r="34">
      <c r="A34" t="inlineStr">
        <is>
          <t>DF</t>
        </is>
      </c>
      <c r="B34" t="inlineStr">
        <is>
          <t>Distrito Federal</t>
        </is>
      </c>
      <c r="C34" t="inlineStr">
        <is>
          <t>Center-West</t>
        </is>
      </c>
      <c r="D34" s="8" t="n">
        <v>2080</v>
      </c>
      <c r="E34" s="8" t="n">
        <v>118</v>
      </c>
      <c r="F34" s="12">
        <f>E34/D34</f>
        <v/>
      </c>
      <c r="G34" s="18">
        <f>(F34-SUM($E$15:$E$41)/SUM($D$15:$D$41))*100</f>
        <v/>
      </c>
      <c r="H34" s="19" t="n">
        <v>12.9</v>
      </c>
      <c r="I34" s="10" t="n">
        <v>4.131</v>
      </c>
      <c r="J34">
        <f>RANK(F34,$F$15:$F$41)</f>
        <v/>
      </c>
    </row>
    <row r="35">
      <c r="A35" t="inlineStr">
        <is>
          <t>MG</t>
        </is>
      </c>
      <c r="B35" t="inlineStr">
        <is>
          <t>Minas Gerais</t>
        </is>
      </c>
      <c r="C35" t="inlineStr">
        <is>
          <t>Southeast</t>
        </is>
      </c>
      <c r="D35" s="8" t="n">
        <v>11354</v>
      </c>
      <c r="E35" s="8" t="n">
        <v>519</v>
      </c>
      <c r="F35" s="12">
        <f>E35/D35</f>
        <v/>
      </c>
      <c r="G35" s="18">
        <f>(F35-SUM($E$15:$E$41)/SUM($D$15:$D$41))*100</f>
        <v/>
      </c>
      <c r="H35" s="19" t="n">
        <v>11.9</v>
      </c>
      <c r="I35" s="10" t="n">
        <v>4.192</v>
      </c>
      <c r="J35">
        <f>RANK(F35,$F$15:$F$41)</f>
        <v/>
      </c>
    </row>
    <row r="36">
      <c r="A36" t="inlineStr">
        <is>
          <t>SP</t>
        </is>
      </c>
      <c r="B36" t="inlineStr">
        <is>
          <t>Sao Paulo</t>
        </is>
      </c>
      <c r="C36" t="inlineStr">
        <is>
          <t>Southeast</t>
        </is>
      </c>
      <c r="D36" s="8" t="n">
        <v>40494</v>
      </c>
      <c r="E36" s="8" t="n">
        <v>1820</v>
      </c>
      <c r="F36" s="12">
        <f>E36/D36</f>
        <v/>
      </c>
      <c r="G36" s="18">
        <f>(F36-SUM($E$15:$E$41)/SUM($D$15:$D$41))*100</f>
        <v/>
      </c>
      <c r="H36" s="19" t="n">
        <v>8.699999999999999</v>
      </c>
      <c r="I36" s="10" t="n">
        <v>4.246</v>
      </c>
      <c r="J36">
        <f>RANK(F36,$F$15:$F$41)</f>
        <v/>
      </c>
    </row>
    <row r="37">
      <c r="A37" t="inlineStr">
        <is>
          <t>PR</t>
        </is>
      </c>
      <c r="B37" t="inlineStr">
        <is>
          <t>Parana</t>
        </is>
      </c>
      <c r="C37" t="inlineStr">
        <is>
          <t>South</t>
        </is>
      </c>
      <c r="D37" s="8" t="n">
        <v>4923</v>
      </c>
      <c r="E37" s="8" t="n">
        <v>199</v>
      </c>
      <c r="F37" s="12">
        <f>E37/D37</f>
        <v/>
      </c>
      <c r="G37" s="18">
        <f>(F37-SUM($E$15:$E$41)/SUM($D$15:$D$41))*100</f>
        <v/>
      </c>
      <c r="H37" s="19" t="n">
        <v>11.9</v>
      </c>
      <c r="I37" s="10" t="n">
        <v>4.24</v>
      </c>
      <c r="J37">
        <f>RANK(F37,$F$15:$F$41)</f>
        <v/>
      </c>
    </row>
    <row r="38">
      <c r="A38" t="inlineStr">
        <is>
          <t>AC</t>
        </is>
      </c>
      <c r="B38" t="inlineStr">
        <is>
          <t>Acre</t>
        </is>
      </c>
      <c r="C38" t="inlineStr">
        <is>
          <t>North</t>
        </is>
      </c>
      <c r="D38" s="8" t="n">
        <v>80</v>
      </c>
      <c r="E38" s="8" t="n">
        <v>3</v>
      </c>
      <c r="F38" s="12">
        <f>E38/D38</f>
        <v/>
      </c>
      <c r="G38" s="18">
        <f>(F38-SUM($E$15:$E$41)/SUM($D$15:$D$41))*100</f>
        <v/>
      </c>
      <c r="H38" s="19" t="n">
        <v>21</v>
      </c>
      <c r="I38" s="10" t="n">
        <v>4.088</v>
      </c>
      <c r="J38">
        <f>RANK(F38,$F$15:$F$41)</f>
        <v/>
      </c>
    </row>
    <row r="39">
      <c r="A39" t="inlineStr">
        <is>
          <t>AP</t>
        </is>
      </c>
      <c r="B39" t="inlineStr">
        <is>
          <t>Amapa</t>
        </is>
      </c>
      <c r="C39" t="inlineStr">
        <is>
          <t>North</t>
        </is>
      </c>
      <c r="D39" s="8" t="n">
        <v>67</v>
      </c>
      <c r="E39" s="8" t="n">
        <v>2</v>
      </c>
      <c r="F39" s="12">
        <f>E39/D39</f>
        <v/>
      </c>
      <c r="G39" s="18">
        <f>(F39-SUM($E$15:$E$41)/SUM($D$15:$D$41))*100</f>
        <v/>
      </c>
      <c r="H39" s="19" t="n">
        <v>27.2</v>
      </c>
      <c r="I39" s="10" t="n">
        <v>4.242</v>
      </c>
      <c r="J39">
        <f>RANK(F39,$F$15:$F$41)</f>
        <v/>
      </c>
    </row>
    <row r="40">
      <c r="A40" t="inlineStr">
        <is>
          <t>RO</t>
        </is>
      </c>
      <c r="B40" t="inlineStr">
        <is>
          <t>Rondonia</t>
        </is>
      </c>
      <c r="C40" t="inlineStr">
        <is>
          <t>North</t>
        </is>
      </c>
      <c r="D40" s="8" t="n">
        <v>243</v>
      </c>
      <c r="E40" s="8" t="n">
        <v>7</v>
      </c>
      <c r="F40" s="12">
        <f>E40/D40</f>
        <v/>
      </c>
      <c r="G40" s="18">
        <f>(F40-SUM($E$15:$E$41)/SUM($D$15:$D$41))*100</f>
        <v/>
      </c>
      <c r="H40" s="19" t="n">
        <v>19.3</v>
      </c>
      <c r="I40" s="10" t="n">
        <v>4.165</v>
      </c>
      <c r="J40">
        <f>RANK(F40,$F$15:$F$41)</f>
        <v/>
      </c>
    </row>
    <row r="41">
      <c r="A41" t="inlineStr">
        <is>
          <t>AM</t>
        </is>
      </c>
      <c r="B41" t="inlineStr">
        <is>
          <t>Amazonas</t>
        </is>
      </c>
      <c r="C41" t="inlineStr">
        <is>
          <t>North</t>
        </is>
      </c>
      <c r="D41" s="8" t="n">
        <v>145</v>
      </c>
      <c r="E41" s="8" t="n">
        <v>4</v>
      </c>
      <c r="F41" s="12">
        <f>E41/D41</f>
        <v/>
      </c>
      <c r="G41" s="18">
        <f>(F41-SUM($E$15:$E$41)/SUM($D$15:$D$41))*100</f>
        <v/>
      </c>
      <c r="H41" s="19" t="n">
        <v>26.4</v>
      </c>
      <c r="I41" s="10" t="n">
        <v>4.243</v>
      </c>
      <c r="J41">
        <f>RANK(F41,$F$15:$F$41)</f>
        <v/>
      </c>
    </row>
  </sheetData>
  <conditionalFormatting sqref="F15:F41">
    <cfRule type="dataBar" priority="1">
      <dataBar>
        <cfvo type="num" val="0"/>
        <cfvo type="max"/>
        <color rgb="00EB6834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2A78D6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About this workbook</t>
        </is>
      </c>
    </row>
    <row r="2">
      <c r="A2" s="2" t="inlineStr">
        <is>
          <t>Generated by src/build_excel.py - do not edit by hand; re-run python run_all.py.</t>
        </is>
      </c>
    </row>
    <row r="4">
      <c r="A4" s="13" t="inlineStr">
        <is>
          <t>Source</t>
        </is>
      </c>
      <c r="B4" t="inlineStr">
        <is>
          <t>Olist Brazilian E-Commerce public dataset (about 100k orders, Sep-2016 to Oct-2018).</t>
        </is>
      </c>
    </row>
    <row r="5">
      <c r="A5" s="13" t="inlineStr">
        <is>
          <t>Pipeline</t>
        </is>
      </c>
      <c r="B5" t="inlineStr">
        <is>
          <t>CSV -&gt; DuckDB star schema -&gt; SQL in sql/analysis -&gt; outputs/sql/*.csv -&gt; this workbook.</t>
        </is>
      </c>
    </row>
    <row r="6">
      <c r="A6" s="13" t="inlineStr">
        <is>
          <t>Revenue</t>
        </is>
      </c>
      <c r="B6" t="inlineStr">
        <is>
          <t>Item price on orders with status = delivered. Freight is reported separately.</t>
        </is>
      </c>
    </row>
    <row r="7">
      <c r="A7" s="13" t="inlineStr">
        <is>
          <t>Customer</t>
        </is>
      </c>
      <c r="B7" t="inlineStr">
        <is>
          <t>customer_unique_id (a person). Olist's customer_id is issued per order.</t>
        </is>
      </c>
    </row>
    <row r="8">
      <c r="A8" s="13" t="inlineStr">
        <is>
          <t>Late delivery</t>
        </is>
      </c>
      <c r="B8" t="inlineStr">
        <is>
          <t>Delivered on a calendar date after the promised (estimated) delivery date.</t>
        </is>
      </c>
    </row>
    <row r="9">
      <c r="A9" s="13" t="inlineStr">
        <is>
          <t>Repeat customer</t>
        </is>
      </c>
      <c r="B9" t="inlineStr">
        <is>
          <t>A customer with 2 or more delivered orders.</t>
        </is>
      </c>
    </row>
    <row r="10">
      <c r="A10" s="13" t="inlineStr">
        <is>
          <t>Complete months</t>
        </is>
      </c>
      <c r="B10" t="inlineStr">
        <is>
          <t>Jan-2017 to Aug-2018. Earlier and later months hold only a handful of orders.</t>
        </is>
      </c>
    </row>
    <row r="11">
      <c r="A11" s="13" t="inlineStr">
        <is>
          <t>Yellow cells</t>
        </is>
      </c>
      <c r="B11" t="inlineStr">
        <is>
          <t>Inputs: change the month or state on the KPI Summary sheet.</t>
        </is>
      </c>
    </row>
    <row r="12">
      <c r="A12" s="13" t="inlineStr">
        <is>
          <t>Named ranges</t>
        </is>
      </c>
      <c r="B12" t="inlineStr">
        <is>
          <t>Formulas -&gt; Name Manager lists every range used by the KPI formulas.</t>
        </is>
      </c>
    </row>
    <row r="13">
      <c r="A13" s="13" t="inlineStr">
        <is>
          <t>Currency</t>
        </is>
      </c>
      <c r="B13" t="inlineStr">
        <is>
          <t>Brazilian real (R$).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2026-10-10T15:39:53Z</dcterms:created>
  <dcterms:modified xmlns:dcterms="http://purl.org/dc/terms/" xmlns:xsi="http://www.w3.org/2001/XMLSchema-instance" xsi:type="dcterms:W3CDTF">2026-10-10T15:39:54Z</dcterms:modified>
</cp:coreProperties>
</file>